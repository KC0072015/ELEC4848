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KC007\Desktop\Test Space\Python\4848\ELEC4848\backend\data\"/>
    </mc:Choice>
  </mc:AlternateContent>
  <xr:revisionPtr revIDLastSave="0" documentId="13_ncr:1_{396C2E79-964A-49F8-9305-E4AE36F09161}" xr6:coauthVersionLast="47" xr6:coauthVersionMax="47" xr10:uidLastSave="{00000000-0000-0000-0000-000000000000}"/>
  <bookViews>
    <workbookView xWindow="-105" yWindow="0" windowWidth="19410" windowHeight="10545" xr2:uid="{9EFF6F0D-C710-EF47-A58A-AC8F2FE2F277}"/>
  </bookViews>
  <sheets>
    <sheet name="Attractions" sheetId="1" r:id="rId1"/>
    <sheet name="Restaurants" sheetId="2" r:id="rId2"/>
    <sheet name="District LookUp Table" sheetId="3" r:id="rId3"/>
    <sheet name="Tag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 l="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alcChain>
</file>

<file path=xl/sharedStrings.xml><?xml version="1.0" encoding="utf-8"?>
<sst xmlns="http://schemas.openxmlformats.org/spreadsheetml/2006/main" count="695" uniqueCount="518">
  <si>
    <t>id</t>
  </si>
  <si>
    <t>district</t>
  </si>
  <si>
    <t>coordinates</t>
  </si>
  <si>
    <t>category</t>
  </si>
  <si>
    <t>price_level</t>
  </si>
  <si>
    <t>description</t>
  </si>
  <si>
    <t>transport</t>
  </si>
  <si>
    <t>name</t>
  </si>
  <si>
    <t>Eastern</t>
  </si>
  <si>
    <t>Central &amp; Western</t>
  </si>
  <si>
    <t>Islands</t>
  </si>
  <si>
    <t>Kowloon City</t>
  </si>
  <si>
    <t>Kwun Tong</t>
  </si>
  <si>
    <t>Kwai Tsing</t>
  </si>
  <si>
    <t>cwd</t>
  </si>
  <si>
    <t>ead</t>
  </si>
  <si>
    <t>isd</t>
  </si>
  <si>
    <t>kcd</t>
  </si>
  <si>
    <t>ktd</t>
  </si>
  <si>
    <t>North</t>
  </si>
  <si>
    <t>nod</t>
  </si>
  <si>
    <t>kwd</t>
  </si>
  <si>
    <t>Sai Kung</t>
  </si>
  <si>
    <t>skd</t>
  </si>
  <si>
    <t>Sha Tin</t>
  </si>
  <si>
    <t>std</t>
  </si>
  <si>
    <t>Sham Shui Po</t>
  </si>
  <si>
    <t>ssp</t>
  </si>
  <si>
    <t>Southern</t>
  </si>
  <si>
    <t>sod</t>
  </si>
  <si>
    <t>Tai Po</t>
  </si>
  <si>
    <t>tpd</t>
  </si>
  <si>
    <t>Tsuen Wan</t>
  </si>
  <si>
    <t>twd</t>
  </si>
  <si>
    <t>Tuen Mun</t>
  </si>
  <si>
    <t>tmd</t>
  </si>
  <si>
    <t>Wan Chai</t>
  </si>
  <si>
    <t>wcd</t>
  </si>
  <si>
    <t>Yau Tsim Mong</t>
  </si>
  <si>
    <t>ytm</t>
  </si>
  <si>
    <t>Yuen Long</t>
  </si>
  <si>
    <t>yld</t>
  </si>
  <si>
    <t>atmd001</t>
  </si>
  <si>
    <t>ayld001</t>
  </si>
  <si>
    <t>Kingswood Richly Plaza</t>
  </si>
  <si>
    <t>22.452153, 114.000390</t>
  </si>
  <si>
    <t>Categories</t>
  </si>
  <si>
    <t>Nature &amp; Scenary</t>
  </si>
  <si>
    <t>Heritage &amp; Culture</t>
  </si>
  <si>
    <t>Food &amp; Drink</t>
  </si>
  <si>
    <t>Recreation &amp; Activities</t>
  </si>
  <si>
    <t>Urban &amp; Architecture</t>
  </si>
  <si>
    <t>Vibe</t>
  </si>
  <si>
    <t>Chill</t>
  </si>
  <si>
    <t>Romantic</t>
  </si>
  <si>
    <t>Bustling</t>
  </si>
  <si>
    <t>Zen</t>
  </si>
  <si>
    <t>Insta-Worthy</t>
  </si>
  <si>
    <t>Retro/Nostalgic</t>
  </si>
  <si>
    <t>Industrial</t>
  </si>
  <si>
    <t>Hidden</t>
  </si>
  <si>
    <t>Local Favorites</t>
  </si>
  <si>
    <t>Tourist Friendly</t>
  </si>
  <si>
    <t>Budget</t>
  </si>
  <si>
    <t>Free</t>
  </si>
  <si>
    <t>&lt;100</t>
  </si>
  <si>
    <t>100-500</t>
  </si>
  <si>
    <t>&gt;500</t>
  </si>
  <si>
    <t>ayld002</t>
  </si>
  <si>
    <t>Ha Pak Nai</t>
  </si>
  <si>
    <t>22.4267459, 113.9430758</t>
  </si>
  <si>
    <t>ayld003</t>
  </si>
  <si>
    <t>Lau Fau Shan</t>
  </si>
  <si>
    <t>22.4673801, 113.9841334</t>
  </si>
  <si>
    <t>ayld004</t>
  </si>
  <si>
    <t>22.453904, 114.034803</t>
  </si>
  <si>
    <t>ayld005</t>
  </si>
  <si>
    <t>Tai Tong Country Park</t>
  </si>
  <si>
    <t>22.40922, 114.03178</t>
  </si>
  <si>
    <t>Hiking</t>
  </si>
  <si>
    <t>ayld006</t>
  </si>
  <si>
    <t>Hong Kong Wetland Park</t>
  </si>
  <si>
    <t>22.468094, 114.004183</t>
  </si>
  <si>
    <t>Bus, Light Rail</t>
  </si>
  <si>
    <t>ayld007</t>
  </si>
  <si>
    <t>Tin Sau Bazaar</t>
  </si>
  <si>
    <t>22.465715, 114.000768</t>
  </si>
  <si>
    <t>ayld008</t>
  </si>
  <si>
    <t>ayld009</t>
  </si>
  <si>
    <t>ayld010</t>
  </si>
  <si>
    <t>Ho Wo Street</t>
  </si>
  <si>
    <t>22.357358, 113.953006</t>
  </si>
  <si>
    <t>atmd002</t>
  </si>
  <si>
    <t>T·PARK</t>
  </si>
  <si>
    <t>22.422296, 113.924178</t>
  </si>
  <si>
    <t>atmd003</t>
  </si>
  <si>
    <t>22.371299, 113.988551</t>
  </si>
  <si>
    <t>Hong Kong Golden Beach</t>
  </si>
  <si>
    <t>atmd004</t>
  </si>
  <si>
    <t>22.390823, 114.024112</t>
  </si>
  <si>
    <t>Reservoir Islands Viewpoint</t>
  </si>
  <si>
    <t>askd001</t>
  </si>
  <si>
    <t>Tap Mun</t>
  </si>
  <si>
    <t>atpd001</t>
  </si>
  <si>
    <t>Tung Ping Chau</t>
  </si>
  <si>
    <t>atpd002</t>
  </si>
  <si>
    <t>Tai Mei Tuk</t>
  </si>
  <si>
    <t>Go Green Organic Farm</t>
  </si>
  <si>
    <t>22.433645, 114.061176</t>
  </si>
  <si>
    <t>Family Friendly</t>
  </si>
  <si>
    <t>ryld001</t>
  </si>
  <si>
    <t>Wing Shun Restaurant</t>
  </si>
  <si>
    <t>cuisine</t>
  </si>
  <si>
    <t>Chinese</t>
  </si>
  <si>
    <t>famous_dish</t>
  </si>
  <si>
    <t>opening_time</t>
  </si>
  <si>
    <t>Satay Beef Noodle</t>
  </si>
  <si>
    <t>type</t>
  </si>
  <si>
    <t>Cha Chaan Teng</t>
  </si>
  <si>
    <t>MTR, Bus, Light Rail</t>
  </si>
  <si>
    <t>0630-1730</t>
  </si>
  <si>
    <t>51-100</t>
  </si>
  <si>
    <t>ryld002</t>
  </si>
  <si>
    <t>LokWu Noodles</t>
  </si>
  <si>
    <t>Knife Cut Noodles</t>
  </si>
  <si>
    <t>1200-2200</t>
  </si>
  <si>
    <t>ryld003</t>
  </si>
  <si>
    <t>rtmd001</t>
  </si>
  <si>
    <t>雲川</t>
  </si>
  <si>
    <t>Rice Noodles</t>
  </si>
  <si>
    <t>1100-2230</t>
  </si>
  <si>
    <t>rtmd002</t>
  </si>
  <si>
    <t>很得輝</t>
  </si>
  <si>
    <t>Snacks</t>
  </si>
  <si>
    <t>Hong Kong</t>
  </si>
  <si>
    <t>Fried Chicken</t>
  </si>
  <si>
    <t>&lt;50</t>
  </si>
  <si>
    <t>1230-0200</t>
  </si>
  <si>
    <t>rtmd003</t>
  </si>
  <si>
    <t>劉興記生煎包專門店</t>
  </si>
  <si>
    <t>Shengjian Mantou (Pan Fried Bun)</t>
  </si>
  <si>
    <t>1130-2030</t>
  </si>
  <si>
    <t>1986正宗越南料理 VIETNAMESE RESTAURANT</t>
  </si>
  <si>
    <t>Restaurant</t>
  </si>
  <si>
    <t>Vietnamese</t>
  </si>
  <si>
    <t>Pho (Vietnamese Noodle)</t>
  </si>
  <si>
    <t>50-100</t>
  </si>
  <si>
    <t>1100-2030</t>
  </si>
  <si>
    <t>atmd005</t>
  </si>
  <si>
    <t>atwd001</t>
  </si>
  <si>
    <t>atwd002</t>
  </si>
  <si>
    <t>atwd003</t>
  </si>
  <si>
    <t>atwd004</t>
  </si>
  <si>
    <t>atwd005</t>
  </si>
  <si>
    <t>assp001</t>
  </si>
  <si>
    <t>assp002</t>
  </si>
  <si>
    <t>assp003</t>
  </si>
  <si>
    <t>assp004</t>
  </si>
  <si>
    <t>assp005</t>
  </si>
  <si>
    <t>aytm001</t>
  </si>
  <si>
    <t>aytm002</t>
  </si>
  <si>
    <t>aytm003</t>
  </si>
  <si>
    <t>aytm004</t>
  </si>
  <si>
    <t>aytm005</t>
  </si>
  <si>
    <t>acwd001</t>
  </si>
  <si>
    <t>acwd002</t>
  </si>
  <si>
    <t>acwd003</t>
  </si>
  <si>
    <t>acwd004</t>
  </si>
  <si>
    <t>acwd005</t>
  </si>
  <si>
    <t>asod001</t>
  </si>
  <si>
    <t>asod002</t>
  </si>
  <si>
    <t>asod003</t>
  </si>
  <si>
    <t>asod004</t>
  </si>
  <si>
    <t>asod005</t>
  </si>
  <si>
    <t>awcd001</t>
  </si>
  <si>
    <t>awcd002</t>
  </si>
  <si>
    <t>awcd003</t>
  </si>
  <si>
    <t>awcd004</t>
  </si>
  <si>
    <t>awcd005</t>
  </si>
  <si>
    <t>aead001</t>
  </si>
  <si>
    <t>aead002</t>
  </si>
  <si>
    <t>aead003</t>
  </si>
  <si>
    <t>aead004</t>
  </si>
  <si>
    <t>aead005</t>
  </si>
  <si>
    <t>akcd001</t>
  </si>
  <si>
    <t>akcd002</t>
  </si>
  <si>
    <t>akcd003</t>
  </si>
  <si>
    <t>akcd004</t>
  </si>
  <si>
    <t>akcd005</t>
  </si>
  <si>
    <t>aktd001</t>
  </si>
  <si>
    <t>aktd002</t>
  </si>
  <si>
    <t>aktd003</t>
  </si>
  <si>
    <t>aktd004</t>
  </si>
  <si>
    <t>aktd005</t>
  </si>
  <si>
    <t>askd002</t>
  </si>
  <si>
    <t>askd003</t>
  </si>
  <si>
    <t>askd004</t>
  </si>
  <si>
    <t>askd005</t>
  </si>
  <si>
    <t>astd001</t>
  </si>
  <si>
    <t>astd002</t>
  </si>
  <si>
    <t>astd003</t>
  </si>
  <si>
    <t>astd004</t>
  </si>
  <si>
    <t>astd005</t>
  </si>
  <si>
    <t>atpd003</t>
  </si>
  <si>
    <t>atpd004</t>
  </si>
  <si>
    <t>atpd005</t>
  </si>
  <si>
    <t>awts001</t>
  </si>
  <si>
    <t>wts</t>
  </si>
  <si>
    <t>Wong Tai Sin</t>
  </si>
  <si>
    <t>awts002</t>
  </si>
  <si>
    <t>awts003</t>
  </si>
  <si>
    <t>awts004</t>
  </si>
  <si>
    <t>awts005</t>
  </si>
  <si>
    <t>anod001</t>
  </si>
  <si>
    <t>anod002</t>
  </si>
  <si>
    <t>anod003</t>
  </si>
  <si>
    <t>anod004</t>
  </si>
  <si>
    <t>anod005</t>
  </si>
  <si>
    <t>aisd001</t>
  </si>
  <si>
    <t>aisd002</t>
  </si>
  <si>
    <t>aisd003</t>
  </si>
  <si>
    <t>aisd004</t>
  </si>
  <si>
    <t>aisd005</t>
  </si>
  <si>
    <t>akwd001</t>
  </si>
  <si>
    <t>akwd002</t>
  </si>
  <si>
    <t>akwd003</t>
  </si>
  <si>
    <t>akwd004</t>
  </si>
  <si>
    <t>akwd005</t>
  </si>
  <si>
    <t>Kennedy Town New Praya</t>
  </si>
  <si>
    <t>Sai Wan Swimming Shed</t>
  </si>
  <si>
    <t>Hong Kong Observation Wheel</t>
  </si>
  <si>
    <t>Barker Road Viewing Point</t>
  </si>
  <si>
    <t>acwd006</t>
  </si>
  <si>
    <t>Hong Kong Museum of Medical Sciences</t>
  </si>
  <si>
    <t>acwd007</t>
  </si>
  <si>
    <t>acwd008</t>
  </si>
  <si>
    <t>acwd009</t>
  </si>
  <si>
    <t>Lan Kwai Fong</t>
  </si>
  <si>
    <t>Tai Kwun</t>
  </si>
  <si>
    <t>Central Market</t>
  </si>
  <si>
    <t>acwd010</t>
  </si>
  <si>
    <t>Hong Kong Zoological and Botanical Gardens</t>
  </si>
  <si>
    <t>Cape Collision Battery</t>
  </si>
  <si>
    <t>Tai Tam Tuk Reservoir Dam Viewpoint</t>
  </si>
  <si>
    <t>Monster Building Spot</t>
  </si>
  <si>
    <t>Chun Yeung Street</t>
  </si>
  <si>
    <t>Cityplaza</t>
  </si>
  <si>
    <t>Lei Yue Mun Park</t>
  </si>
  <si>
    <t>Tai O</t>
  </si>
  <si>
    <t>Citygate Outlets</t>
  </si>
  <si>
    <t>Lung Cheung Road Sitting-out Area</t>
  </si>
  <si>
    <t>Kowloon Walled City Park</t>
  </si>
  <si>
    <t>Kai Tak Sports Park</t>
  </si>
  <si>
    <t>Laguna Park</t>
  </si>
  <si>
    <t>Jordan Valley Park</t>
  </si>
  <si>
    <t>Central Kwai Chung Park</t>
  </si>
  <si>
    <t>Sha Tau Kok</t>
  </si>
  <si>
    <t>Long Valley Nature Centre</t>
  </si>
  <si>
    <t>UNESCO Global Geopark</t>
  </si>
  <si>
    <t>High Island Reservoir East Dam</t>
  </si>
  <si>
    <t>Green Egg Island</t>
  </si>
  <si>
    <t>Stanley Murray House</t>
  </si>
  <si>
    <t>Hong Kong Correctional Services Museum</t>
  </si>
  <si>
    <t>Waterfall Bay Park</t>
  </si>
  <si>
    <t>Golden Computer Arcade</t>
  </si>
  <si>
    <t>Ten Thousand Buddhas Monastery</t>
  </si>
  <si>
    <t>Kam Shan Country Park</t>
  </si>
  <si>
    <t>Hong Kong Heritage Museum</t>
  </si>
  <si>
    <t>Ngong Ping Viewing Point</t>
  </si>
  <si>
    <t>GO PARK Sai Sha</t>
  </si>
  <si>
    <t>22.283587, 114.125840</t>
  </si>
  <si>
    <t>22.2798456, 114.1175181</t>
  </si>
  <si>
    <t>22.2741043, 114.1171927</t>
  </si>
  <si>
    <t>Sunset Seaview Pavillion</t>
  </si>
  <si>
    <t>22.285354, 114.161736</t>
  </si>
  <si>
    <t>22.271291, 114.157525</t>
  </si>
  <si>
    <t>22.283415, 114.148558</t>
  </si>
  <si>
    <t>22.280879, 114.155398</t>
  </si>
  <si>
    <t>22.281552, 114.154078</t>
  </si>
  <si>
    <t>22.284051, 114.155443</t>
  </si>
  <si>
    <t>22.277695, 114.156412</t>
  </si>
  <si>
    <t>22.291335, 114.197828</t>
  </si>
  <si>
    <t>22.286438, 114.217314</t>
  </si>
  <si>
    <t>22.277737, 114.232659</t>
  </si>
  <si>
    <t>Pui O Beach</t>
  </si>
  <si>
    <t>22.238876, 113.978691</t>
  </si>
  <si>
    <t>22.254151, 113.862149</t>
  </si>
  <si>
    <t>22.289652, 113.941258</t>
  </si>
  <si>
    <t>22.342497, 114.174208</t>
  </si>
  <si>
    <t>22.284277, 114.212469</t>
  </si>
  <si>
    <t>Shopping</t>
  </si>
  <si>
    <t>summary_desc</t>
  </si>
  <si>
    <t>facilities_desc</t>
  </si>
  <si>
    <t>tips_desc</t>
  </si>
  <si>
    <t>Environmental Tags</t>
  </si>
  <si>
    <t>Demographic Tags</t>
  </si>
  <si>
    <t>Religious &amp; Spiritual</t>
  </si>
  <si>
    <t>Outdoor</t>
  </si>
  <si>
    <t>Indoor</t>
  </si>
  <si>
    <t>Steep Terrain</t>
  </si>
  <si>
    <t>Couples</t>
  </si>
  <si>
    <t>Solo Travelers</t>
  </si>
  <si>
    <t>Elderly Friendly</t>
  </si>
  <si>
    <t>Pet Friendly</t>
  </si>
  <si>
    <t>vibes</t>
  </si>
  <si>
    <t>environmental_tags</t>
  </si>
  <si>
    <t>demographic_tags</t>
  </si>
  <si>
    <t>Nature &amp; Scenery</t>
  </si>
  <si>
    <t>Chill, Local Favorites</t>
  </si>
  <si>
    <t>Outdoor, Steep Terrain</t>
  </si>
  <si>
    <t>Family Friendly, Tourist Friendly</t>
  </si>
  <si>
    <t>Lei Yue Mun Park is a large park with a playground, archery, karaoke, and a horse riding school. It offers a scenic outdoor space with a steep hill.</t>
  </si>
  <si>
    <t>Playground, Archery, Karaoke room, Bicycle rental, Board games, Bracelet making workshop, BBQ facilities, Horseback riding school, canteen.</t>
  </si>
  <si>
    <t>Bring mosquito repellent, wear comfortable shoes for steep slopes, and bring your own drinks to save money. Be prepared for pricey vending machine drinks and the strict coach at the archery range.</t>
  </si>
  <si>
    <t>Pui O Beach, located on the south side of Lantau Island, offers a relaxing experience with a mix of black and yellow sand, a popular weekend destination, and opportunities for swimming, camping, and exploring the surrounding landscape.</t>
  </si>
  <si>
    <t>Facilities include Beach, Lifeguard Station, Beach Shack Cafe, Rental, and Camping.</t>
  </si>
  <si>
    <t>Visit during the off-season for fewer crowds. Bring sunscreen and a hat. Be mindful of the mud on the beach. Check the beach's status before heading there. Enjoy the scenic views and the local culture.</t>
  </si>
  <si>
    <t>Local Favorites, Hidden</t>
  </si>
  <si>
    <t>Tai O is a charming fishing village in Hong Kong, offering a glimpse into traditional life. Located near the Big Buddha, it features stilts over the water and a unique atmosphere. Visitors can easily access the village via bus from the Big Buddha and ca, and enjoy boat rides to see pink dolphins. The village is known for its fish products, curried fish balls, and local sauces.</t>
  </si>
  <si>
    <t>Bus services connect Tai O to the Big Buddha. Boat rides are available to see pink dolphins.</t>
  </si>
  <si>
    <t>Explore the village on foot, try the local curried fish balls and sauces, and take advantage of the boat rides to see the pink dolphins. Be prepared for a slower pace of travel due to the village's size.</t>
  </si>
  <si>
    <t>Citygate Outlets is a large shopping mall located near an airport, offering a wide variety of retail outlets, food options, and amenities. It features air conditioning, numerous shops, and convenient transportation links to the city center.</t>
  </si>
  <si>
    <t>The mall features MTR exits, bus routes, and ample space for walking. There are restrooms available.  Nearby apartments are also available for those needing a place to stay.</t>
  </si>
  <si>
    <t>For efficient travel, utilize the MTR station nearby.  Be prepared for crowds, especially during peak hours.  Check for deals and promotions on various shops.</t>
  </si>
  <si>
    <t>Kennedy Town New Praya is a charming neighborhood blending vintage architecture with modern amenities, offering a balance of history and contemporary life. It’s a popular spot for locals and tourists alike, providing a relaxed atmosphere with waterfront views and diverse dining options.</t>
  </si>
  <si>
    <t>The location offers MTR access via the Kennedy Town station.  A short walk leads to the Kennedy Town basketball court, offering a vantage point for observing the harbor.  There is a %Arabica coffee shop with a grand view to the harbor.  The area is also known for its local eateries and hip coffee shops.  Walking along the waterfront is a popular activity.</t>
  </si>
  <si>
    <t>For a truly local experience, explore the Kennedy Town area. Enjoy the diverse dining options and the waterfront views.  Be mindful of the area during peak hours to avoid crowds.</t>
  </si>
  <si>
    <t>Chill, Insta-Worthy</t>
  </si>
  <si>
    <t>Tourist Friendly, Couples</t>
  </si>
  <si>
    <t>A beautiful lookout for sunset views, offering stunning coastal scenery and a chance to capture iconic views.</t>
  </si>
  <si>
    <t>The location offers a wooden pier for walking and exploring. There are two staircases leading down to the pier, guiding you directly to the pier.</t>
  </si>
  <si>
    <t>Enjoy the sunset from the wooden pier. Take the stairs down to the pier for a unique experience. Be aware that the location can be popular, so expect a short wait for photos.</t>
  </si>
  <si>
    <t>Outdoor, Scenic</t>
  </si>
  <si>
    <t>Hong Kong offers a tranquil spot to witness stunning sunsets, particularly in a secluded area with limited crowds. A short walk down a staircase leads to a pavilion offering unobstructed views. Nearby, a large boat passage can be observed.</t>
  </si>
  <si>
    <t>The location offers a scenic view and is easily accessible via a 5B bus station.  A short walk down the stairs leads to a viewpoint.   There are multiple levels of stairs, with the UChicago campus accessible via a short walk.</t>
  </si>
  <si>
    <t>Be mindful of snakes roaming around the area, particularly on the path down to the pavilion. Wear protective gear against insects.  The stairs can be slippery, so exercise caution.</t>
  </si>
  <si>
    <t>Local Favorites, Insta-Worthy</t>
  </si>
  <si>
    <t>Tourist Friendly, Couples, Family Friendly, Elderly Friendly, Pet Friendly</t>
  </si>
  <si>
    <t>The Hong Kong Observation Wheel is a lovely spot to enjoy the skyline, both day and night. The location is perfect — right by Victoria Harbour — offering panoramic views of Hong Kong Island, Kowloon, and the surrounding lights.</t>
  </si>
  <si>
    <t>The ride is smooth and lasts around 15 minutes, giving you enough time to enjoy the scenery and take photos. The cabins are air-conditioned and comfortable, making it pleasant even on warm days. Staff are friendly and the ticket price is reasonable compared to the experience. It’s great for families, couples, or anyone who loves city views.</t>
  </si>
  <si>
    <t>If you're in Hong Kong, even just for a few hours, this is a fun and easy way to take in the city from above. Definitely recommend i!t</t>
  </si>
  <si>
    <t>Insta-Worthy, Hidden</t>
  </si>
  <si>
    <t>Tourist Friendly, Solo Travelers</t>
  </si>
  <si>
    <t>Barker Road Viewing Point offers breathtaking panoramic views of Victoria Harbour, particularly popular with cyclists and motorcyclists. The location is a vibrant spot for capturing scenic moments and connecting with fellow enthusiasts. While traffic can occasionally disrupt the tranquility, the overall atmosphere is excellent.</t>
  </si>
  <si>
    <t>The viewing point offers direct access to the Victoria Harbor view. There is a roadside photo opportunity with a magnificent harbor view. A short cycling route is available from Admiralty to the Peak, offering less traffic and a more peaceful experience. The area is accessible by bicycle and offers a scenic route through the quick road.</t>
  </si>
  <si>
    <t>For optimal views, arrive early in the morning or late in the afternoon to avoid peak traffic. Bring a camera to capture the stunning scenery. Consider cycling to the Peak for a quieter experience.</t>
  </si>
  <si>
    <t>Tourist Friendly, Family Friendly</t>
  </si>
  <si>
    <t>The Hong Kong Museum of Medical Sciences is a historical museum showcasing the evolution of medical science in Hong Kong, from the 19th century to the present day. It offers a comprehensive look at the history of medical practices, equipment, and research, including exhibits on the history of the plague, early medical techniques, and the development of Chinese medicine. The museum’s location in the Mid Levels of Hong Kong provides a unique setting, blending Western and traditional architectural elements.</t>
  </si>
  <si>
    <t>The museum features a large exhibition hall with interactive exhibits, including a simulated surgery experience, a display of medical equipment, and a presentation on the history of the plague. There is also a dedicated area for Chinese medicine exhibits, including a 3D Acu-Man exhibition.</t>
  </si>
  <si>
    <t>To get the best experience, take the MTR to Sheung Wan or Sai Ying Pun stations. The museum is open Tuesday to Saturday, 10 am to 5 pm, and Sunday and public holidays are open until 5 pm. Be prepared for a walk up a hill to reach the museum.</t>
  </si>
  <si>
    <t>Lan Kwai Fong is a vibrant, energetic hub in Hong Kong's Central district, known for its diverse range of bars, clubs, and restaurants. It's a popular destination for tourists and locals alike, offering a lively atmosphere and a wide selection of entertainment. The area is known for its pubs, and a historic prison is located nearby.</t>
  </si>
  <si>
    <t>The area boasts a wide array of amenities, including numerous bars, nightclubs, cocktail bars, and restaurants. Visitors can easily access MTR stations, including Central Station Exit D1, and walk along Pedder Street and Wyndham Street. Taxi services are readily available. There are also art galleries and restaurants to visit during the day.</t>
  </si>
  <si>
    <t>For a truly immersive experience, explore the area after 9:30 PM, especially on Friday and Saturday nights. Be prepared for crowds and a high level of energy.  If you're looking for a relaxing evening, consider visiting during the day to explore the local art galleries and restaurants.  Be aware of the potential for sleazy behavior and prioritize your safety.  Enjoy the vibrant nightlife and embrace the local culture.</t>
  </si>
  <si>
    <t>Indoor, Budget</t>
  </si>
  <si>
    <t>Tai Kwun, a heritage-arts venue and living record of the legal system in Hong Kong, offers a unique blend of history, art, and culture. Located in Central, it features 16 revitalized buildings, including the former Central Police Station and Magistracy, and is home to interactive exhibits and a diverse range of activities. Visitors can explore the justice system history, enjoy a mix of art, music, and theatre, and experience a vibrant atmosphere.</t>
  </si>
  <si>
    <t>Tai Kwun offers a variety of facilities, including shops, restaurants, exhibitions, and interactive exhibits. The complex includes 3 major heritage properties: Former Central Police Station, Former Central Magistracy, and Former Victoria Prison. Visitors can explore the former Central Police Station, the former Central Magistracy, and the former Victoria Prison, all declared monuments in Hong Kong. The complex includes a large space for exhibitions, and a variety of food and drink outlets. The complex includes a new JC Contemporary also within the compound.</t>
  </si>
  <si>
    <t>Visit the museum to learn about the history of the legal system and the justice system. Take a walk around the complex to see the different buildings and historical sites. Be sure to allow ample time to explore the different sections and attractions. The complex is large, so plan your route in advance.</t>
  </si>
  <si>
    <t>Local Favorites, Retro/Nostalgic</t>
  </si>
  <si>
    <t>Tourist Friendly, Family Friendly, Solo Travelers, Elderly Friendly</t>
  </si>
  <si>
    <t>Hong Kong's historic street market, once a bustling commercial hub, has been revitalized into a vibrant and engaging public space.  This landmark, preserved as a 'Playground For All', now offers a unique blend of traditional heritage and modern design, attracting visitors seeking a memorable cultural experience.</t>
  </si>
  <si>
    <t>The market features numerous food stalls, artisanal shops, and cafes.  There are several shops selling unique clothing, jewelry, and handmade goods.  The ground floor offers a variety of dining options and drinks.  The upper floors house exhibition spaces and quirky shops like Tiny HK.  A quick link to the mid-levels escalator is readily available.</t>
  </si>
  <si>
    <t>Explore the market's diverse offerings, from local street food to handcrafted goods.  Take your time to wander through the stalls and soak in the atmosphere.  Don't be afraid to strike up conversations with vendors and locals.  Enjoy a leisurely meal and a refreshing drink.</t>
  </si>
  <si>
    <t>Outdoor, Free</t>
  </si>
  <si>
    <t>Family Friendly, Solo Travelers</t>
  </si>
  <si>
    <t>The Hong Kong Zoological and Botanical Gardens is a free to enter park and botanical garden in Hong Kong, offering a peaceful escape in the heart of the city while promoting education and conservation efforts. It features a diverse range of plants and animals, including primates, birds, and mammals, and provides a unique experience for families, tourists, and nature enthusiasts. The park is known for its beautiful greenery, wildlife, and accessible pathways.</t>
  </si>
  <si>
    <t>The park offers a variety of facilities, including walking paths, arboretum, and a green house. Visitors can enjoy walking around before getting on the Peak tram, observing animals and birds, and relaxing in the peaceful atmosphere. The park is hilly, so come rested.</t>
  </si>
  <si>
    <t>Visit during mornings and afternoons for quieter experiences. The zoo is free, and it's a great place to explore different species of animals and plants.  The park is a great place to relax and escape the hustle and bustle of the city.</t>
  </si>
  <si>
    <t>Urban</t>
  </si>
  <si>
    <t>The Monster Building in Quarry Bay is a striking example of high-density urban living in Hong Kong, featuring a complex of five interconnected apartments. Originally built in the 1960s as a common home, it has become an iconic photography and film location, frequently featured in Hollywood movies. It’s a popular destination for architecture enthusiasts and urban explorers, with over 2,200 apartment units and thousands of residents.</t>
  </si>
  <si>
    <t>Free of charge, with two entrances on King’s Road. Accessible by subway, bus, taxi, or ding ding.</t>
  </si>
  <si>
    <t>Allow 30 minutes to take pictures without disturbing locals. Support the locals by visiting cafes and stores in the complex. Do not disturb the locals as this is their living place.</t>
  </si>
  <si>
    <t>Outdoor, Urban</t>
  </si>
  <si>
    <t>This location offers a unique experience with a wet market and tram views, particularly popular for photographers. It’s a vibrant, bustling area with a strong local atmosphere.</t>
  </si>
  <si>
    <t>The location features a wet market with shops and stalls, and a tramway passing through the market. MTR exit: North Point station A1 or eastbound tram heading towards the North Point terminus.</t>
  </si>
  <si>
    <t>Be prepared for crowds, especially during peak hours, and consider bringing cash as prices may be higher than other markets. Enjoy the atmosphere and capture some memorable photos.</t>
  </si>
  <si>
    <t>City Plaza is a large-scale mall in Taikoo Shing, offering a wide selection of shops, restaurants, and entertainment options. It features an ice rink, cinema, cafes, shops, and restaurants, catering to a diverse range of shoppers and visitors.  The plaza is known for its extensive selection of brands, including Zara, H&amp;M, and Uniqlo, alongside more affordable options.  It’s a popular destination for families, with a Lego store, ToysRUs, and McDonalds.  The plaza is generally easy to navigate and offers late-night hours.</t>
  </si>
  <si>
    <t>The plaza features an ice rink, cinema, cafes, shops, and restaurants.  It’s easily accessible via the MTR (Tai Koo station).  There is a large selection of well-known, chain-store brands available, including Zara, H&amp;M, Club Monaco, Giordano, Levis, Marks &amp; Spencer, Uniqlo, and Superdry.</t>
  </si>
  <si>
    <t>For shopping, City Plaza is a great place to explore a wide range of brands and stores.  It’s particularly popular for families and those seeking a variety of dining options.  Be aware of peak shopping hours, especially during weekends.</t>
  </si>
  <si>
    <t>Insta-Worthy, Scenic</t>
  </si>
  <si>
    <t>The Lung Cheung Road Observatory is a small location offering panoramic city views. It provides a stunning vista of the skyline framed by mountains and greenery, particularly impressive during both daytime and nighttime. The area is known for its unobstructed views and peaceful atmosphere. Visitors can easily access this vantage point.</t>
  </si>
  <si>
    <t>The Lung Cheung Road Observatory offers sweeping, unobstructed views of the city skyline. Transportation options include taking a bus directly to the Phoenix House stop, or a 15-minute uphill walk from the Moonbeam Terrace bus stop.</t>
  </si>
  <si>
    <t>Bring a camera to capture the stunning views. Consider visiting after dark for the best nighttime panorama. Be prepared for a slightly challenging uphill walk if taking the bus route alighting at Moonbeam Terrace.</t>
  </si>
  <si>
    <t>Hidden, Local Favorites</t>
  </si>
  <si>
    <t>Tourist Friendly, Solo Travelers, Elderly Friendly</t>
  </si>
  <si>
    <t>Kowloon Walled Park is a historical park in Hong Kong, representing a unique territory with a complex past. The park incorporates restored former houses and offers a glimpse into the city's history. It provides a peaceful escape from the city's bustle, featuring landscaped gardens and traditional Chinese design. The park’s size is considerable, offering ample space for exploration and relaxation.</t>
  </si>
  <si>
    <t>Visitors can access the park by taking the subway to Sung Wong Toi then exit from B3, then walking two gates. A free exhibition from the movie Walled in, twilight of the warriors is available, but requires timed tickets. The park includes a basketball court, soccer court, and a cycling area. Traditional Chinese garden design, winding paths, ponds, and pavilions are present within the park.</t>
  </si>
  <si>
    <t>Walled in exhibition is free. Consider visiting during quieter times to avoid crowds and enjoy a more peaceful experience. The park is well-maintained and offers a pleasant walking experience.</t>
  </si>
  <si>
    <t>Tourist Friendly, Family Friendly, Solo Travelers</t>
  </si>
  <si>
    <t>Kai Tak Sports Park is a large open space developed from the former Kai Tak Airport Grounds. It encompasses sports facilities, residential towers, restaurants, and malls, spanning a significant area between Sung Wong Toi and Kai Tak MTR Stations. The park features a 10,000-capacity sports ground and a 50,000-seat stadium. The area offers a blend of recreational activities, shopping, and dining options, creating a vibrant and modern atmosphere.</t>
  </si>
  <si>
    <t>Visitors can access the park by exiting Kai Tak Station on the Tuen Ma Line. It involves a considerable walk due to the expansive area. The park includes large-scale sculptures, fountain pools, benches, and covered walkways for shade and protection from the elements. Several malls are located around the area, offering a variety of food choices. Public toilets are available within the area. The waterfront is beginning to open, utilizing the old airport runway and extending to the adjacent cruise terminal.</t>
  </si>
  <si>
    <t>Visitors should be prepared for a long walk from the MTR exits. The malls are good places to cool down on hot summer days. Locals frequently visit the park for walks and dog-walking.</t>
  </si>
  <si>
    <t>Family Friendly, Elderly Friendly, Solo Travelers</t>
  </si>
  <si>
    <t>Laguna Park is a large neighborhood park situated adjacent to Laguna City, serving a residential community of over 20,000 people. It offers a green space for recreation and relaxation, featuring jogging tracks and fitness equipment. The park’s origins date back to 1991 as part of a housing development marketing campaign. While functional, it doesn’t offer extraordinary features and can be crowded during peak times.</t>
  </si>
  <si>
    <t>The park includes a children’s playground, jogging track, fitness equipment, benches, public restrooms, and smaller water fountains. There are trees providing shade. Access to the park is available via local residential streets.</t>
  </si>
  <si>
    <t>Ask the staff to heat up your pastry, and avoid visiting during peak hours if you dislike loud music.</t>
  </si>
  <si>
    <t>Jordan Valley Park is a large park offering green spaces and recreational activities. It features expansive lawns, a model car racing track, and a family-friendly climbing trail. The park provides a relaxing escape from the city, with well-maintained facilities and ample space for various activities. It’s a popular spot for families and individuals seeking outdoor recreation.</t>
  </si>
  <si>
    <t>The park has two central lawns suitable for running and relaxing, and it includes running trails with varying routes and inclines. There is a remote car circuit for children to enjoy, and the Jordan Valley Morning Trail provides a family-friendly climbing experience. The park also offers a car park.</t>
  </si>
  <si>
    <t>Ask the staff to heat up your pastry, and avoid visiting during peak hours if you dislike loud music. The car park can be limited, and visitors may need to park at the police apartments if it is full.</t>
  </si>
  <si>
    <t>Kwai Chung Plaza</t>
  </si>
  <si>
    <t>Central Kwai Chung Park is a hidden park located in the industrial district of Hong Kong. It offers walking trails, sports courts, and shaded areas, providing a peaceful escape from the urban environment. The park boasts rich biodiversity and interesting historical features. It’s an oasis of nature within the city.</t>
  </si>
  <si>
    <t>The park offers functional facilities, including two water dispensers and toilets. However, the walls on the sports courts are noted to be quite short. There are many little paths and places to explore within the park.</t>
  </si>
  <si>
    <t>Avoid visiting during peak hours if you dislike loud music. Be aware of mosquitoes and consider bringing repellent. The park is suitable for easy hiking and jogging.</t>
  </si>
  <si>
    <t>Bustling, Local Favorites</t>
  </si>
  <si>
    <t>Tourist Friendly, Solo Travelers, Budget</t>
  </si>
  <si>
    <t>Kwai Chung Plaza is an indoor shopping venue accessible via the Kwai Fong MTR Station (exit D). The property opened in 1990 and features multiple floors, offering a variety of shops and eateries. There are several floors with food shops and a level selling fresh food such as vegetables and fruits. The plaza can be incredibly crowded, and while some recognizable brand name retailers and casual eateries are present, most of the businesses are locally owned. Taxi availability is assumed, but specific details are not mentioned.</t>
  </si>
  <si>
    <t>Be prepared for crowds and potential noise. Haggling is expected when shopping at the kiosks. This plaza offers a unique shopping experience, reminiscent of Southeast Asian markets, and is a good option for budget-conscious shoppers.</t>
  </si>
  <si>
    <t>Located at the border between the North District of the New Territories in Hong Kong and the Yantian District of Shenzhen in the Mainland, Sha Tau Kok was once a Frontier Closed Area. Following its opening, it has now become a popular destination for day trips, requiring a Closed Area Permit for entry. The first and second phases of Sha Tau Kok Pier have opened, providing transportation options for both individual travelers and day-trip tour groups. The area features spectacular coastlines and unique historical landmarks, such as vintage road signs and the Sun Moon Pavilion. Sha Tau Kok is renowned for its beautiful sea views and cultural history.</t>
  </si>
  <si>
    <t>Apply for a Closed Area Permit to visit Sha Tau Kok. Kaito ferries are available to reach tourist hotspots such as Lai Chi Wo, Kat O, and Ap Chau. Consider avoiding peak hours to avoid crowds. Sha Tau Kok Pier offers a romantic walking route, featuring murals by Sha Tau Kok primary school students on the walls. Enjoy the lighthouse and sea views at "The Ends of the Earth." The Old Sha Tau Kok Fire Station displays a vintage fire engine and is a great spot for photos. Chung Ying Street Garden provides an opportunity to view Chung Ying Street and allows for hanging wishing plaques.</t>
  </si>
  <si>
    <t>High Island Reservoir and its surrounding Sai Kung East Country Park area offer stunning natural beauty and a peaceful escape from city life. The reservoir is massive, featuring breathtaking views of turquoise water, rugged coastline, and unique hexagonal rock columns. It’s a popular destination for nature lovers and hikers, providing a different side of Hong Kong. The area is known for its scenic trails and diverse landscapes. It’s a large area with a mix of easy and challenging walking routes.</t>
  </si>
  <si>
    <t>There are limited facilities available at High Island Reservoir. Transportation options include public buses and green taxis; a bus change is required, and the final leg involves a 30-minute taxi ride from the northeast of Hong Kong. The area offers views of the dam, island, cave, and lava columns.</t>
  </si>
  <si>
    <t>Bring enough water and snacks as facilities are limited. Consider visiting during sunrise or sunset for optimal photography opportunities. The area is easily accessible by taxi or public transportation (minibus change required). It’s a good starting point for longer or more challenging hikes.</t>
  </si>
  <si>
    <t>Hidden, Insta-Worthy</t>
  </si>
  <si>
    <t>Cape Collinson Battery is a hidden gem offering panoramic ocean views and sea cliffs. It’s a peaceful escape from the city, suitable for short adventures or quiet strolls. The location is accessible via a trail, though it requires some climbing. The area is relatively small and offers a unique perspective of the coastline.</t>
  </si>
  <si>
    <t>There is no official trail to the battery, but steps have been added to the fence marking the trail-head. Access requires a 30-minute walk from Siu Sai Wan to Big Wave Bay. The path to the battery is a hiking trail, and the area can be a bit less maintained. Be cautious when exploring the battery due to recent damage and rocks from a typhoon.</t>
  </si>
  <si>
    <t>Bring enough water and proper footwear for the hike. Use mosquito repellent, especially on hot days. Consider visiting on a weekday to avoid crowds. Be careful when exploring the battery due to recent damage.</t>
  </si>
  <si>
    <t>Chill, Hidden</t>
  </si>
  <si>
    <t>Outdoor, Budget, Free</t>
  </si>
  <si>
    <t>This location is a large reservoir situated in the Tai Tam Valley and Country Park on Hong Kong Island. It offers a peaceful escape from the city, characterized by greenery, waterfalls, and a dam. The area is known for its scenic beauty and historical waterworks structures. It is a popular destination for both locals and tourists seeking a relaxing experience.</t>
  </si>
  <si>
    <t>Visitors can access the reservoir via a casual and easy hike through the Tai Tam Waterworks Heritage Trail, starting from the south entrance or the northern entrance. Toilets, a water refill station, and drink machines are located at the south entrance. There are also a few BBQ spots along the Tai Tam Tuk reservoirs for picnics. Bus route 14 stops at Tai Tam Reservoir North to facilitate access.</t>
  </si>
  <si>
    <t>The reservoir is particularly impressive after heavy rainfall, showcasing the dam in full swing. Consider visiting during good weather for optimal photography. Explore Tai Tam Tuk Village for a peaceful experience. You can choose different routes to reach the reservoir depending on your starting point.</t>
  </si>
  <si>
    <t>A diverse location offering nature, food, and a relaxing atmosphere. Visitors can enjoy scenic views, local produce, and a variety of recreational activities.</t>
  </si>
  <si>
    <t>The location features a nursery, observation deck, restrooms, a water filling station, bicycle parking, and phone charging facilities. Bicycle-powered phone chargers are available for visitors. The location offers a scenic walking path along the river, with accessible facilities.</t>
  </si>
  <si>
    <t>Plan your visit during the flowering season or when migratory birds return for optimal scenery. Take a taxi or bus 76K from Sheung Shui MTR to reach the location. Bicycle parking is available on the ground floor. Be mindful of the weather, as rain can impact the atmosphere.</t>
  </si>
  <si>
    <t>Local Favorites, Insta-Worthy, Hidden, Family Friendly, Retrofuturistic</t>
  </si>
  <si>
    <t>Outdoor, Coastal, Natural Beauty, Hiking</t>
  </si>
  <si>
    <t>Tap Mun, an island located north of the Sai Kung West Country Park, is a popular day trip and overnight wild camping location for Hongkongers. It's known for its grassy hilltop, numerous cows, and a mix of heritage, history, geology, and natural beauty. Visitors can enjoy a loop trail, ferry access, and various amenities like restaurants and dried fish.</t>
  </si>
  <si>
    <t>Public toilets, casual eateries and restaurants at the Old Fisherman's Village, dry fish, fishing, a loop trail, a few pavilion rest stops, a New Fisherman's Village with more eateries, rope repelling, a few geological features (Balanced Rock, Tap Mun Cave), and a scenic harbor. The ferry departs from Wong Shek Pier, and the boat ride is approximately 1.5 hours. There are also minibus and bus lines connecting from ferry pier to Tai Po and  Shatin.</t>
  </si>
  <si>
    <t>Pack appropriate clothing and footwear for hiking, bring water and snacks, check the ferry schedule before setting off, and be mindful of the cows and their grazing space. Consider bringing a camera to capture the stunning scenery.</t>
  </si>
  <si>
    <t>N/A</t>
  </si>
  <si>
    <t>Solo Travelers, Family Friendly</t>
  </si>
  <si>
    <t>The Hong Kong UNESCO Global Geopark offers a unique outdoor experience with stunning volcanic landscapes and hiking opportunities. It's a popular destination for nature lovers and adventure seekers.</t>
  </si>
  <si>
    <t>No specific facilities are mentioned.</t>
  </si>
  <si>
    <t>To visit UNESCO Global Geopark, you should plan for a remote excursion as private vehicles and Ubers are prohibited; the most direct way is taking a red taxi to the East Dam or taking MTR to Diamond Hill (Exit C2) to catch Bus 92 to Sai Kung. Since the area functions as a wilderness with no shops or restaurants, it is essential to bring your own food and water in a backpack, especially if you plan to climb the "big hill" for the best views of the ocean and hexagonal rock formations. For a more structured experience, you can visit the Volcanic Discovery Centre at the Sai Kung bus terminus to join a guided tour or coordinate ferry trips from Ma Liu Shui Pier, though note that these ferries generally only operate on weekends and public holidays. Be mindful that while one review incorrectly places Po Pin Chau in Lantau, it is actually located in Sai Kung, and the trip is best enjoyed on a clear, warm day to fully appreciate the dramatic coastal scenery.</t>
  </si>
  <si>
    <t>Insta-Worthy, Hidden, Couples</t>
  </si>
  <si>
    <t>Green Egg Island is a beautiful and tranquil spot on the Clearwater Bay Peninsula, offering kayaking opportunities and a chance to explore the coastline. It's known for its clear water, rocky terrain, and a history of volunteer efforts to clean up marine waste.  The island is relatively close to Sheung Tsz Wan, offering a scenic drive.  It’s a popular destination for both locals and tourists, with a focus on enjoying the natural beauty and a vibrant underwater ecosystem.</t>
  </si>
  <si>
    <t>Kayaking rentals are available at Sheung Tsz Wan.  There are several trails available, including the Lung Ha Wan Country Trail.  Public transportation is limited.  Speedboats are available.</t>
  </si>
  <si>
    <t>Be aware of tides and currents.  Check the weather forecast before heading out.  Respect the environment and dispose of your trash properly.  Consider bringing waterproof gear.</t>
  </si>
  <si>
    <t>Murray House is a large, ex government official residence originally located in the Central area of Hong Kong. It was once a Government House and later served as an officer's quarters during British rule. The building features a beautiful colonial design and has undergone several renovations and exorcisms, including a second exorcism in 1974. It now houses shops and restaurants and offers views of the bay.</t>
  </si>
  <si>
    <t>The building features outdoor verandahs, commercial spaces, restaurants, and a retail outlet. It also has a pier and a waterfront view.</t>
  </si>
  <si>
    <t>Visit the building if you are interested in Hong Kong's history and heritage. It’s a significant landmark and offers a glimpse into the city's past.</t>
  </si>
  <si>
    <t>Tourist Friendly, Family Friendly, Free</t>
  </si>
  <si>
    <t>This small specialist museum in Stanley, Hong Kong, focuses on the history of the prison system and its impact on the local community. It offers free admission and features exhibits on the history of correctional services, including displays of instruments used for punishment and information about the Vietnamese refugee situation.</t>
  </si>
  <si>
    <t>The museum features 10 small galleries spaced out over two floors. Exhibitions represent over 170 years of history dating from the late Qing Dynasty through the colonial period all the way to the present era of National Security Law. The rooms are curated with photos and images from the past, various artefacts and information related to dealing with pirates in the early days, to prison internments during the Japanese occupation, the Vietnamese refugee situation as well as general prison life at the old Victoria prison. There are mock gallows and prison cells as well.</t>
  </si>
  <si>
    <t>If you're in Stanley and have an interest in local correctional services, this museum offers a unique and informative experience. It's a good place to learn about the history of Hong Kong's prison system and its impact on the community.</t>
  </si>
  <si>
    <t>Waterfall Bay Park is a unique urban escape in the Southern District, offering stunning views of Lamma Island and the sea. It's a popular spot for sunset viewing, photography, and sketching, and is a key highlight along the Island South Trail.  The park is highly recommended, but accessibility can be challenging due to locked stairs and the presence of trash on the mudflats.</t>
  </si>
  <si>
    <t>The park features flat paths, nearby shopping malls and restaurants in Wah Fu Estate, and a small beach area. Nearby amenities include shopping malls and restaurants in Wah Fu Estate.</t>
  </si>
  <si>
    <t>Leave no trace principles are strongly encouraged to preserve this rare city hidden gem. Waterfall Bay Park, located in the Southern District near Wah Fu Estate, is a unique urban escape famous for its "Fu Lam Falls" which cascades directly into the sea against a backdrop of panoramic views featuring Lamma Island and transoceanic container vessels. While the waterfall originated from the Pok Fu Lam Reservoir and may not be as massive as it once was, visitors describe it as surprisingly majestic—especially after heavy rain—though its proximity to a large private residential building creates a striking contrast between nature and high-density urban development. The park is highly recommended as a picturesque spot for sunset viewing, photography, and sketching, and it serves as a key highlight along the Island South Trail connecting Pok Fu Lam to Stanley. Accessibility is generally convenient with flat paths and nearby amenities like shopping malls and restaurants in Wah Fu Estate, though visitors must exercise caution as the direct stairs to the waterfall are often locked, sometimes leading people to climb railings for access. Beyond the natural scenery and a small beach area, the park holds historical intrigue with an abandoned wartime bunker nearby, but reviewers consistently express disappointment regarding the accumulation of trash on the mudflats and strongly urge everyone to practice "leave no trace" principles to preserve this rare city hidden gem.</t>
  </si>
  <si>
    <t>Ap Liu Street Market</t>
  </si>
  <si>
    <t>Sham Shui Po's Ap Liu Street is a bustling flea market and electronic hub, known as "Electronic Street," offering a wide range of bargain goods and collectibles. It's a popular destination for locals and tourists alike, particularly for electronics and vintage items.</t>
  </si>
  <si>
    <t>The street is directly adjacent to MTR Sham Shui Po station Exit A2 and C2. Visitors can easily access the market via these stations.  There are numerous stalls offering electronics, vintage goods, and household items.  The area features specialized sections for SIM cards and mobile accessories.  The street is a pedestrian-only zone.</t>
  </si>
  <si>
    <t>Be prepared to negotiate prices, but be cautious of counterfeit items.  Take your time to explore the stalls and discover hidden treasures.  Walking and wandering is encouraged to fully appreciate the market's atmosphere.</t>
  </si>
  <si>
    <t>rssp001</t>
  </si>
  <si>
    <t>Dragon Centre Food Court</t>
  </si>
  <si>
    <t>Urban, Indoor</t>
  </si>
  <si>
    <t>Golden Computer Arcade is a popular arcade and electronics store in Sham Shui Po, offering a wide selection of tech and gaming equipment. It's a landmark known for its extensive inventory and a unique, sometimes chaotic, atmosphere.</t>
  </si>
  <si>
    <t>The arcade features multiple floors with distinct sections catering to different tech interests. The upper floor specializes in new laptops and components, while the lower floor focuses on internal parts like CPUs and motherboards. The middle floor offers a diverse range of products, including retro gaming and cutting-edge tech. The arcade is located near Pei Ho Street, Fuk Wa Street, and Ap Liu Street, providing ample opportunities for browsing and shopping.</t>
  </si>
  <si>
    <t>Price check everything when shopping at the arcade, as multiple shops offer similar items at different prices. Be prepared for a potentially crowded and busy environment.</t>
  </si>
  <si>
    <t>The Ten Thousand Buddhas Monastery in Sha Tin offers a serene and visually stunning experience, characterized by a challenging but rewarding climb to a hilltop complex with numerous golden Buddha statues. While appreciated for its atmosphere, the climb is demanding and may not be suitable for all fitness levels.</t>
  </si>
  <si>
    <t>The monastery features a main temple with a pagoda, various sculptures, and a staircase leading to a hilltop complex. Visitors can access the monastery via a 10-minute walk from MTR Sha Tin Station (Exit B), navigating a somewhat hidden path near a shopping center and cemetery. The ascent involves over 400 steps lined with golden Buddha statues. The site is open daily from 9:00 AM to 5:30 PM, but photography is prohibited inside the main temple.</t>
  </si>
  <si>
    <t>Plan for a physical workout due to the steep climb. Be aware that the site is primarily accessed on foot. Respect the rules prohibiting photography inside the main temple.</t>
  </si>
  <si>
    <t>Sha Tau Kok has a 280 meter long pier; It is only a 20 to 30-minute boat ride from Kat O and Ap Chau. At the end of the pier, ""The Ends of the Earth"" paired with a pure white lighthouse. Shun Ping Street features murals on the walls painted by Sha Tau Kok primary school students. At the end of the pier, "The Ends of the Earth" paired with a pure white lighthouse offers beautiful scenery. The Old Sha Tau Kok Fire Station is a distinctive landmark of Sha Tau Kok, preserving its former appearance and displaying a 1:1 replica of a century-old hand-drawn fire engine. Chung Ying Street is located at the border and was once a trading center for Hong Kong merchants during the early Reform and Opening-up period; it is now a site of historical witness, featuring a wishing lookout and a garden modeled after the style of old Hong Kong railway stations.</t>
  </si>
  <si>
    <t>Kingswood Richly Plaza is a bustling, no-frills labyrinth in Tin Shui Wai, known for its cheap street food and nostalgic atmosphere. It’s a beloved community hub for residents seeking affordable luxuries.</t>
  </si>
  <si>
    <t>The mall features narrow, claustrophobic corridors and mediocre cleanliness. It offers a wide variety of cheap and cheerful options, including claw machine shops, budget hair salons, and family-run eateries. There is a 'Nerdvana' atmosphere with a 'shoulder-to-shoulder' dining experience.</t>
  </si>
  <si>
    <t>Be prepared for a chaotic and crowded experience. Seek out affordable treasures within the mall's cramped stalls.  Utilize the MTR exit near the mall for easy access to other parts of Tin Shui Wai.</t>
  </si>
  <si>
    <t>Solo Travelers, Elderly Friendly</t>
  </si>
  <si>
    <t>Ha Pak Nai is a popular Hong Kong sunset destination known for its tidal flats that reflect the sky and views of the Shenzhen container port. However, accessing the beach involves a challenging commute, including a 15-minute walk or a 2-hour hike, and is hampered by low-frequency minibus service, large crowds, and narrow roads. The experience is a test of patience due to mosquito issues, muddy terrain, and potential rainy spring conditions.</t>
  </si>
  <si>
    <t>The primary transportation is the No. 33 minibus from Yuen Long or Tin Shui Wai. Access to the beach involves a 15-minute walk from the minibus stop or a 2-hour hike via the Pineapple Hill trail. Drivers should be warned about narrow roads and difficult taxi availability during the return trip.</t>
  </si>
  <si>
    <t>Bring insect repellent and plenty of time if you decide the Instagrammable views are worth the trek. Be prepared for muddy terrain and potential rainy spring conditions.</t>
  </si>
  <si>
    <t>Local Favorites, Solo Travelers</t>
  </si>
  <si>
    <t>Lau Fau Shan is a gritty, authentic Hong Kong village located in the northwestern New Territories, offering a unique experience centered around seafood, oyster farming, and a glimpse into the area's industrial history. While it lacks luxury amenities, it's a popular destination for bargain hunters seeking fresh seafood and unique goods, with a caveat regarding hygiene and a potentially smelly shoreline. It offers stunning views of Shenzhen Bay Bridge and the Shekou skyline, and holds historical significance as a former hotspot for illegal immigration.</t>
  </si>
  <si>
    <t>Reaching the village from Central takes about 90 minutes via MTR and bus. From my perspective, Lau Fau Shan is the ultimate destination for "unfiltered" Hong Kong culture; it is not for those who prioritize cleanliness or a "tourist-ready" presentation, but for anyone who wants to see the raw, industrial beauty of the oyster bays and experience a way of life that feels increasingly rare in the modern city. The village offers a glimpse into the area's industrial history and provides a unique opportunity to experience a less polished, more authentic Hong Kong.</t>
  </si>
  <si>
    <t>Be prepared for a muddy shoreline and potential hygiene concerns. Utilize the MTR feeder bus for transportation. Bring appropriate footwear for navigating the uneven terrain. Consider visiting during the off-season to avoid crowds.</t>
  </si>
  <si>
    <t>Nam Sang Wai</t>
  </si>
  <si>
    <t>Nam Sang Wai is a nature and scenery escape offering a unique view of the Shenzhen skyline and surrounding marshlands. It’s a popular spot for hikers and bird watchers, particularly during the pandemic, and provides a tranquil space for cycling and exercise. The area’s scenery shifts with the seasons, making it a reliable destination for urban Hong Kong visitors seeking a quiet escape.</t>
  </si>
  <si>
    <t>No specific facilities are mentioned in the reviews. The location offers a panoramic view of the Shenzhen skyline and surrounding marshlands.  Cycling and exercise are encouraged.</t>
  </si>
  <si>
    <t>Visit during the shoulder seasons (spring or autumn) for pleasant weather.  Utilize cycling paths and walking trails to explore the area.  Be mindful of the surrounding marshlands and potential wildlife.</t>
  </si>
  <si>
    <t>Tai Tong Country Park is a premier Nature &amp; Scenery destination renowned for its spectacular Sweet Gum Woods, offering scenic trails suitable for all fitness levels. Visitors can choose from leisurely routes starting from the Tai Tong Barbecue Plantation or more adventurous hikes towards Tin Fu Tsai, including a farm stay. Careful timing is crucial due to parking difficulties during the peak 'red leaf' season.</t>
  </si>
  <si>
    <t>The park features clean public toilets and snack kiosks at the Tai Tong Barbecue Plantation. Public transport options include the K66 bus stop and the Yuen Tsuen Ancient Trail, with options for taxi availability. The park offers a scenic walk with a beautiful view of the Sweet Gum Woods.</t>
  </si>
  <si>
    <t>Plan your trip around the 'red leaf' season to maximize your experience. Utilize public transport to avoid parking difficulties. Check the official 'red leaf index' for accurate foliage conditions before heading out.</t>
  </si>
  <si>
    <t>The park offers a standard Visitor Centre ($30 HKD) with accessible pathways, observation towers, and a bird-watching hide.  There are mangrove boardwalks, a wetland discovery centre, and a bird-watching hide.  The main Visitor Centre is undergoing a major enhancement project expected to conclude in late 2026.  MTR exits are not explicitly mentioned, but the park is easily accessible via the Tin Shui Wai MTR station.</t>
  </si>
  <si>
    <t>Visit during the winter months (December-January) for the best reflections of the Bald Cypress trees.  Bring binoculars for birdwatching.  Be prepared for crowds, especially during peak season.  Check the park's website for updates on the enhancement project.</t>
  </si>
  <si>
    <t>The Hong Kong Wetland Park is a 61-hectare sanctuary offering a peaceful, family-friendly escape from the surrounding high-rises. Known for its serene "mirror of the sky" aesthetic, the park features mangrove boardwalks, bird-watching hides, and the famous resident crocodile, Pui Pui. While the outdoor reserves remain open for a $30 entry fee, the visitor center is currently undergoing renovations until late 2026.</t>
  </si>
  <si>
    <t>Tin Sau Bazaar is a vibrant social enterprise market in Tin Shui Wai, offering a unique shopping experience with a focus on affordability and community support. It's a hidden gem known for its diverse stalls, traditional food, and supportive local vendors.</t>
  </si>
  <si>
    <t>The market features four zones: food, daily necessities, services, and cooked snacks. It includes specialized finds like aged Chenpi, authentic Indian curry, and fresh herbal soup ingredients. The layout is divided into four zones, with stalls offering a range of goods and services. Visitors can reach the market by taking LRT route 705 from Tin Shui Wai Station or Bus K73 from Long Ping, or Bus 967/967X from Hong Kong Island.</t>
  </si>
  <si>
    <t>Be prepared for a slightly cluttered and authentic market experience. While some stalls may be a bit old-fashioned, the prices are incredibly affordable and a great way to support local vendors.</t>
  </si>
  <si>
    <t>Go Garden is a 2-hectare alpaca farm in Kam Tin offering a rustic, hands-on experience. While families enjoy interacting with animals, visitors are deterred by the high cost and aging facilities. Entry fees range from $100–$150 per person, with surcharges for feeding and enclosure access. It’s best enjoyed with own snacks and prioritizing animal interaction.</t>
  </si>
  <si>
    <t>Entry fees range from $100–$150 per person. The farm’s outdated infrastructure and pricey tuck shop limit accessibility. There are no specific transit directions provided, but the farm is five-minute walk from Kam Sheung Road MTR station. Visitors are advised to bring their own snacks and prioritize animal interaction over modern amenities.</t>
  </si>
  <si>
    <t>Due to the high cost and aging facilities, consider bringing your own snacks and prioritizing animal interaction.  The farm is best enjoyed with your own snacks and a focus on interacting with the animals.</t>
  </si>
  <si>
    <t>Hong Kong version of Miami, a trending Nature &amp; Scenery destination with stunning waterfront views and a cinematic atmosphere. It's a secluded industrial area with limited facilities, requiring visitors to be self-sufficient.</t>
  </si>
  <si>
    <t>No public toilets, trash cans, or convenience stores are available. Visitors must bring their own food, water, and garbage bags for sustenance and waste disposal.</t>
  </si>
  <si>
    <t>Plan your transport and supplies carefully, as the location is isolated and requires careful planning to avoid being stranded without basic necessities. It is currently inaccessible due to the construction of a bus depot.</t>
  </si>
  <si>
    <t>22.332204, 114.190280</t>
  </si>
  <si>
    <t>22.323837, 114.197860</t>
  </si>
  <si>
    <t>22.307034, 114.226071</t>
  </si>
  <si>
    <t>22.329514, 114.220712</t>
  </si>
  <si>
    <t>22.356277, 114.132864</t>
  </si>
  <si>
    <t>22.358148, 114.127621</t>
  </si>
  <si>
    <t>22.546093959,114.224355423</t>
  </si>
  <si>
    <t>22.506791, 114.108666</t>
  </si>
  <si>
    <t>22.47596, 114.36197</t>
  </si>
  <si>
    <t>22.357161, 114.373003</t>
  </si>
  <si>
    <t>22.362050, 114.371522</t>
  </si>
  <si>
    <t>22.303763, 114.310979</t>
  </si>
  <si>
    <t>22.253560, 114.255455</t>
  </si>
  <si>
    <t>22.244548, 114.221863</t>
  </si>
  <si>
    <t>22.217975, 114.209753</t>
  </si>
  <si>
    <t>22.216338, 114.218025</t>
  </si>
  <si>
    <t>22.250926, 114.134742</t>
  </si>
  <si>
    <t>22.330655, 114.162047</t>
  </si>
  <si>
    <t>22.332070, 114.162047</t>
  </si>
  <si>
    <t>22.388093, 114.184948</t>
  </si>
  <si>
    <t>22.36282, 114.15125</t>
  </si>
  <si>
    <t>22.377391, 114.185382</t>
  </si>
  <si>
    <t>22.391044, 114.252899</t>
  </si>
  <si>
    <t>22.427163, 114.265092</t>
  </si>
  <si>
    <t>22.54591, 114.42853</t>
  </si>
  <si>
    <t>22.472381, 114.232922</t>
  </si>
  <si>
    <t>Kwai Chung Plaza is a small, unique shopping venue located outside the Kwai Fong MTR Station. It offers a vibrant and lively atmosphere with hundreds of small, locally-owned shops and kiosks selling cheap street foods. The plaza is known for its budget-friendly prices and a diverse selection of goods, reminiscent of shopping in Southeast Asian cities. It’s a bustling and welcoming space for shoppers seeking a different experience.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</si>
</sst>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theme="1"/>
      <name val="Aptos Narrow"/>
      <scheme val="minor"/>
    </font>
    <font>
      <sz val="8"/>
      <name val="Aptos Narrow"/>
      <family val="2"/>
      <scheme val="minor"/>
    </font>
    <font>
      <sz val="12"/>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0" fontId="3" fillId="0" borderId="0" xfId="0" applyFont="1" applyAlignment="1">
      <alignment vertical="center"/>
    </xf>
  </cellXfs>
  <cellStyles count="1">
    <cellStyle name="一般"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A1562-3E79-344E-9B82-D003F5E54972}">
  <dimension ref="A1:L120"/>
  <sheetViews>
    <sheetView tabSelected="1" zoomScale="115" zoomScaleNormal="115" workbookViewId="0">
      <pane xSplit="2" ySplit="1" topLeftCell="G25" activePane="bottomRight" state="frozen"/>
      <selection pane="topRight" activeCell="C1" sqref="C1"/>
      <selection pane="bottomLeft" activeCell="A2" sqref="A2"/>
      <selection pane="bottomRight" activeCell="I33" sqref="I33"/>
    </sheetView>
  </sheetViews>
  <sheetFormatPr defaultColWidth="11" defaultRowHeight="15.75" x14ac:dyDescent="0.25"/>
  <cols>
    <col min="2" max="2" width="21.125" customWidth="1"/>
    <col min="3" max="3" width="16" bestFit="1" customWidth="1"/>
    <col min="4" max="4" width="22.625" bestFit="1" customWidth="1"/>
    <col min="5" max="5" width="19.625" bestFit="1" customWidth="1"/>
    <col min="6" max="7" width="19.625" customWidth="1"/>
    <col min="8" max="8" width="28.125" customWidth="1"/>
    <col min="9" max="9" width="26" customWidth="1"/>
    <col min="10" max="10" width="20.5" customWidth="1"/>
    <col min="11" max="11" width="15.5" customWidth="1"/>
  </cols>
  <sheetData>
    <row r="1" spans="1:11" x14ac:dyDescent="0.25">
      <c r="A1" t="s">
        <v>0</v>
      </c>
      <c r="B1" t="s">
        <v>7</v>
      </c>
      <c r="C1" t="s">
        <v>1</v>
      </c>
      <c r="D1" t="s">
        <v>2</v>
      </c>
      <c r="E1" t="s">
        <v>3</v>
      </c>
      <c r="F1" t="s">
        <v>304</v>
      </c>
      <c r="G1" t="s">
        <v>305</v>
      </c>
      <c r="H1" t="s">
        <v>306</v>
      </c>
      <c r="I1" t="s">
        <v>291</v>
      </c>
      <c r="J1" t="s">
        <v>292</v>
      </c>
      <c r="K1" t="s">
        <v>293</v>
      </c>
    </row>
    <row r="2" spans="1:11" x14ac:dyDescent="0.25">
      <c r="A2" t="s">
        <v>164</v>
      </c>
      <c r="B2" t="s">
        <v>228</v>
      </c>
      <c r="C2" t="str">
        <f>IF($A2&lt;&gt;"", _xlfn.IFNA(VLOOKUP(RIGHT(LEFT($A2,4),3),'District LookUp Table'!$A$2:$B$19,2,FALSE), "NOT FOUND"), "")</f>
        <v>Central &amp; Western</v>
      </c>
      <c r="D2" t="s">
        <v>270</v>
      </c>
      <c r="E2" t="s">
        <v>47</v>
      </c>
      <c r="F2" t="s">
        <v>61</v>
      </c>
      <c r="G2" t="s">
        <v>297</v>
      </c>
      <c r="H2" t="s">
        <v>62</v>
      </c>
      <c r="I2" t="s">
        <v>324</v>
      </c>
      <c r="J2" t="s">
        <v>325</v>
      </c>
      <c r="K2" t="s">
        <v>326</v>
      </c>
    </row>
    <row r="3" spans="1:11" x14ac:dyDescent="0.25">
      <c r="A3" t="s">
        <v>165</v>
      </c>
      <c r="B3" t="s">
        <v>229</v>
      </c>
      <c r="C3" t="str">
        <f>IF($A3&lt;&gt;"", _xlfn.IFNA(VLOOKUP(RIGHT(LEFT($A3,4),3),'District LookUp Table'!$A$2:$B$19,2,FALSE), "NOT FOUND"), "")</f>
        <v>Central &amp; Western</v>
      </c>
      <c r="D3" t="s">
        <v>271</v>
      </c>
      <c r="E3" t="s">
        <v>307</v>
      </c>
      <c r="F3" t="s">
        <v>327</v>
      </c>
      <c r="G3" t="s">
        <v>297</v>
      </c>
      <c r="H3" t="s">
        <v>328</v>
      </c>
      <c r="I3" t="s">
        <v>329</v>
      </c>
      <c r="J3" t="s">
        <v>330</v>
      </c>
      <c r="K3" t="s">
        <v>331</v>
      </c>
    </row>
    <row r="4" spans="1:11" x14ac:dyDescent="0.25">
      <c r="A4" t="s">
        <v>166</v>
      </c>
      <c r="B4" t="s">
        <v>273</v>
      </c>
      <c r="C4" t="str">
        <f>IF($A4&lt;&gt;"", _xlfn.IFNA(VLOOKUP(RIGHT(LEFT($A4,4),3),'District LookUp Table'!$A$2:$B$19,2,FALSE), "NOT FOUND"), "")</f>
        <v>Central &amp; Western</v>
      </c>
      <c r="D4" t="s">
        <v>272</v>
      </c>
      <c r="E4" t="s">
        <v>307</v>
      </c>
      <c r="F4" t="s">
        <v>53</v>
      </c>
      <c r="G4" t="s">
        <v>332</v>
      </c>
      <c r="H4" t="s">
        <v>62</v>
      </c>
      <c r="I4" t="s">
        <v>333</v>
      </c>
      <c r="J4" t="s">
        <v>334</v>
      </c>
      <c r="K4" t="s">
        <v>335</v>
      </c>
    </row>
    <row r="5" spans="1:11" x14ac:dyDescent="0.25">
      <c r="A5" t="s">
        <v>167</v>
      </c>
      <c r="B5" t="s">
        <v>230</v>
      </c>
      <c r="C5" t="str">
        <f>IF($A5&lt;&gt;"", _xlfn.IFNA(VLOOKUP(RIGHT(LEFT($A5,4),3),'District LookUp Table'!$A$2:$B$19,2,FALSE), "NOT FOUND"), "")</f>
        <v>Central &amp; Western</v>
      </c>
      <c r="D5" t="s">
        <v>274</v>
      </c>
      <c r="E5" t="s">
        <v>50</v>
      </c>
      <c r="F5" t="s">
        <v>336</v>
      </c>
      <c r="G5" t="s">
        <v>63</v>
      </c>
      <c r="H5" t="s">
        <v>337</v>
      </c>
      <c r="I5" t="s">
        <v>338</v>
      </c>
      <c r="J5" t="s">
        <v>339</v>
      </c>
      <c r="K5" t="s">
        <v>340</v>
      </c>
    </row>
    <row r="6" spans="1:11" x14ac:dyDescent="0.25">
      <c r="A6" t="s">
        <v>168</v>
      </c>
      <c r="B6" t="s">
        <v>231</v>
      </c>
      <c r="C6" t="str">
        <f>IF($A6&lt;&gt;"", _xlfn.IFNA(VLOOKUP(RIGHT(LEFT($A6,4),3),'District LookUp Table'!$A$2:$B$19,2,FALSE), "NOT FOUND"), "")</f>
        <v>Central &amp; Western</v>
      </c>
      <c r="D6" t="s">
        <v>275</v>
      </c>
      <c r="E6" t="s">
        <v>307</v>
      </c>
      <c r="F6" t="s">
        <v>341</v>
      </c>
      <c r="G6" t="s">
        <v>297</v>
      </c>
      <c r="H6" t="s">
        <v>342</v>
      </c>
      <c r="I6" t="s">
        <v>343</v>
      </c>
      <c r="J6" t="s">
        <v>344</v>
      </c>
      <c r="K6" t="s">
        <v>345</v>
      </c>
    </row>
    <row r="7" spans="1:11" x14ac:dyDescent="0.25">
      <c r="A7" t="s">
        <v>232</v>
      </c>
      <c r="B7" t="s">
        <v>233</v>
      </c>
      <c r="C7" t="str">
        <f>IF($A7&lt;&gt;"", _xlfn.IFNA(VLOOKUP(RIGHT(LEFT($A7,4),3),'District LookUp Table'!$A$2:$B$19,2,FALSE), "NOT FOUND"), "")</f>
        <v>Central &amp; Western</v>
      </c>
      <c r="D7" t="s">
        <v>276</v>
      </c>
      <c r="E7" t="s">
        <v>48</v>
      </c>
      <c r="F7" t="s">
        <v>61</v>
      </c>
      <c r="G7" t="s">
        <v>298</v>
      </c>
      <c r="H7" t="s">
        <v>346</v>
      </c>
      <c r="I7" t="s">
        <v>347</v>
      </c>
      <c r="J7" t="s">
        <v>348</v>
      </c>
      <c r="K7" t="s">
        <v>349</v>
      </c>
    </row>
    <row r="8" spans="1:11" x14ac:dyDescent="0.25">
      <c r="A8" t="s">
        <v>234</v>
      </c>
      <c r="B8" t="s">
        <v>237</v>
      </c>
      <c r="C8" t="str">
        <f>IF($A8&lt;&gt;"", _xlfn.IFNA(VLOOKUP(RIGHT(LEFT($A8,4),3),'District LookUp Table'!$A$2:$B$19,2,FALSE), "NOT FOUND"), "")</f>
        <v>Central &amp; Western</v>
      </c>
      <c r="D8" t="s">
        <v>277</v>
      </c>
      <c r="E8" t="s">
        <v>50</v>
      </c>
      <c r="F8" t="s">
        <v>53</v>
      </c>
      <c r="G8" t="s">
        <v>298</v>
      </c>
      <c r="H8" t="s">
        <v>342</v>
      </c>
      <c r="I8" t="s">
        <v>350</v>
      </c>
      <c r="J8" t="s">
        <v>351</v>
      </c>
      <c r="K8" t="s">
        <v>352</v>
      </c>
    </row>
    <row r="9" spans="1:11" x14ac:dyDescent="0.25">
      <c r="A9" t="s">
        <v>235</v>
      </c>
      <c r="B9" t="s">
        <v>238</v>
      </c>
      <c r="C9" t="str">
        <f>IF($A9&lt;&gt;"", _xlfn.IFNA(VLOOKUP(RIGHT(LEFT($A9,4),3),'District LookUp Table'!$A$2:$B$19,2,FALSE), "NOT FOUND"), "")</f>
        <v>Central &amp; Western</v>
      </c>
      <c r="D9" t="s">
        <v>278</v>
      </c>
      <c r="E9" t="s">
        <v>48</v>
      </c>
      <c r="F9" t="s">
        <v>58</v>
      </c>
      <c r="G9" t="s">
        <v>353</v>
      </c>
      <c r="H9" t="s">
        <v>346</v>
      </c>
      <c r="I9" t="s">
        <v>354</v>
      </c>
      <c r="J9" t="s">
        <v>355</v>
      </c>
      <c r="K9" t="s">
        <v>356</v>
      </c>
    </row>
    <row r="10" spans="1:11" x14ac:dyDescent="0.25">
      <c r="A10" t="s">
        <v>236</v>
      </c>
      <c r="B10" t="s">
        <v>239</v>
      </c>
      <c r="C10" t="str">
        <f>IF($A10&lt;&gt;"", _xlfn.IFNA(VLOOKUP(RIGHT(LEFT($A10,4),3),'District LookUp Table'!$A$2:$B$19,2,FALSE), "NOT FOUND"), "")</f>
        <v>Central &amp; Western</v>
      </c>
      <c r="D10" t="s">
        <v>279</v>
      </c>
      <c r="E10" t="s">
        <v>51</v>
      </c>
      <c r="F10" t="s">
        <v>357</v>
      </c>
      <c r="G10" t="s">
        <v>298</v>
      </c>
      <c r="H10" t="s">
        <v>358</v>
      </c>
      <c r="I10" t="s">
        <v>359</v>
      </c>
      <c r="J10" t="s">
        <v>360</v>
      </c>
      <c r="K10" t="s">
        <v>361</v>
      </c>
    </row>
    <row r="11" spans="1:11" x14ac:dyDescent="0.25">
      <c r="A11" t="s">
        <v>240</v>
      </c>
      <c r="B11" t="s">
        <v>241</v>
      </c>
      <c r="C11" t="str">
        <f>IF($A11&lt;&gt;"", _xlfn.IFNA(VLOOKUP(RIGHT(LEFT($A11,4),3),'District LookUp Table'!$A$2:$B$19,2,FALSE), "NOT FOUND"), "")</f>
        <v>Central &amp; Western</v>
      </c>
      <c r="D11" t="s">
        <v>280</v>
      </c>
      <c r="E11" t="s">
        <v>50</v>
      </c>
      <c r="F11" t="s">
        <v>308</v>
      </c>
      <c r="G11" t="s">
        <v>362</v>
      </c>
      <c r="H11" t="s">
        <v>363</v>
      </c>
      <c r="I11" t="s">
        <v>364</v>
      </c>
      <c r="J11" t="s">
        <v>365</v>
      </c>
      <c r="K11" t="s">
        <v>366</v>
      </c>
    </row>
    <row r="12" spans="1:11" x14ac:dyDescent="0.25">
      <c r="A12" t="s">
        <v>179</v>
      </c>
      <c r="B12" t="s">
        <v>244</v>
      </c>
      <c r="C12" t="str">
        <f>IF($A12&lt;&gt;"", _xlfn.IFNA(VLOOKUP(RIGHT(LEFT($A12,4),3),'District LookUp Table'!$A$2:$B$19,2,FALSE), "NOT FOUND"), "")</f>
        <v>Eastern</v>
      </c>
      <c r="D12" t="s">
        <v>289</v>
      </c>
      <c r="E12" t="s">
        <v>51</v>
      </c>
      <c r="F12" t="s">
        <v>57</v>
      </c>
      <c r="G12" t="s">
        <v>367</v>
      </c>
      <c r="H12" t="s">
        <v>346</v>
      </c>
      <c r="I12" t="s">
        <v>368</v>
      </c>
      <c r="J12" t="s">
        <v>369</v>
      </c>
      <c r="K12" t="s">
        <v>370</v>
      </c>
    </row>
    <row r="13" spans="1:11" x14ac:dyDescent="0.25">
      <c r="A13" t="s">
        <v>180</v>
      </c>
      <c r="B13" t="s">
        <v>245</v>
      </c>
      <c r="C13" t="str">
        <f>IF($A13&lt;&gt;"", _xlfn.IFNA(VLOOKUP(RIGHT(LEFT($A13,4),3),'District LookUp Table'!$A$2:$B$19,2,FALSE), "NOT FOUND"), "")</f>
        <v>Eastern</v>
      </c>
      <c r="D13" t="s">
        <v>281</v>
      </c>
      <c r="E13" t="s">
        <v>51</v>
      </c>
      <c r="F13" t="s">
        <v>61</v>
      </c>
      <c r="G13" t="s">
        <v>371</v>
      </c>
      <c r="H13" t="s">
        <v>62</v>
      </c>
      <c r="I13" t="s">
        <v>372</v>
      </c>
      <c r="J13" t="s">
        <v>373</v>
      </c>
      <c r="K13" t="s">
        <v>374</v>
      </c>
    </row>
    <row r="14" spans="1:11" x14ac:dyDescent="0.25">
      <c r="A14" t="s">
        <v>181</v>
      </c>
      <c r="B14" t="s">
        <v>246</v>
      </c>
      <c r="C14" t="str">
        <f>IF($A14&lt;&gt;"", _xlfn.IFNA(VLOOKUP(RIGHT(LEFT($A14,4),3),'District LookUp Table'!$A$2:$B$19,2,FALSE), "NOT FOUND"), "")</f>
        <v>Eastern</v>
      </c>
      <c r="D14" t="s">
        <v>282</v>
      </c>
      <c r="E14" t="s">
        <v>290</v>
      </c>
      <c r="F14" t="s">
        <v>61</v>
      </c>
      <c r="G14" t="s">
        <v>367</v>
      </c>
      <c r="H14" t="s">
        <v>346</v>
      </c>
      <c r="I14" t="s">
        <v>375</v>
      </c>
      <c r="J14" t="s">
        <v>376</v>
      </c>
      <c r="K14" t="s">
        <v>377</v>
      </c>
    </row>
    <row r="15" spans="1:11" x14ac:dyDescent="0.25">
      <c r="A15" t="s">
        <v>182</v>
      </c>
      <c r="B15" t="s">
        <v>247</v>
      </c>
      <c r="C15" t="str">
        <f>IF($A15&lt;&gt;"", _xlfn.IFNA(VLOOKUP(RIGHT(LEFT($A15,4),3),'District LookUp Table'!$A$2:$B$19,2,FALSE), "NOT FOUND"), "")</f>
        <v>Eastern</v>
      </c>
      <c r="D15" t="s">
        <v>283</v>
      </c>
      <c r="E15" t="s">
        <v>307</v>
      </c>
      <c r="F15" t="s">
        <v>53</v>
      </c>
      <c r="G15" t="s">
        <v>309</v>
      </c>
      <c r="H15" t="s">
        <v>310</v>
      </c>
      <c r="I15" t="s">
        <v>311</v>
      </c>
      <c r="J15" t="s">
        <v>312</v>
      </c>
      <c r="K15" t="s">
        <v>313</v>
      </c>
    </row>
    <row r="16" spans="1:11" x14ac:dyDescent="0.25">
      <c r="A16" t="s">
        <v>183</v>
      </c>
      <c r="C16" t="str">
        <f>IF($A16&lt;&gt;"", _xlfn.IFNA(VLOOKUP(RIGHT(LEFT($A16,4),3),'District LookUp Table'!$A$2:$B$19,2,FALSE), "NOT FOUND"), "")</f>
        <v>Eastern</v>
      </c>
    </row>
    <row r="17" spans="1:11" x14ac:dyDescent="0.25">
      <c r="A17" t="s">
        <v>218</v>
      </c>
      <c r="B17" t="s">
        <v>284</v>
      </c>
      <c r="C17" t="str">
        <f>IF($A17&lt;&gt;"", _xlfn.IFNA(VLOOKUP(RIGHT(LEFT($A17,4),3),'District LookUp Table'!$A$2:$B$19,2,FALSE), "NOT FOUND"), "")</f>
        <v>Islands</v>
      </c>
      <c r="D17" t="s">
        <v>285</v>
      </c>
      <c r="E17" t="s">
        <v>50</v>
      </c>
      <c r="F17" t="s">
        <v>308</v>
      </c>
      <c r="G17" t="s">
        <v>297</v>
      </c>
      <c r="H17" t="s">
        <v>62</v>
      </c>
      <c r="I17" t="s">
        <v>314</v>
      </c>
      <c r="J17" t="s">
        <v>315</v>
      </c>
      <c r="K17" t="s">
        <v>316</v>
      </c>
    </row>
    <row r="18" spans="1:11" x14ac:dyDescent="0.25">
      <c r="A18" t="s">
        <v>219</v>
      </c>
      <c r="B18" t="s">
        <v>248</v>
      </c>
      <c r="C18" t="str">
        <f>IF($A18&lt;&gt;"", _xlfn.IFNA(VLOOKUP(RIGHT(LEFT($A18,4),3),'District LookUp Table'!$A$2:$B$19,2,FALSE), "NOT FOUND"), "")</f>
        <v>Islands</v>
      </c>
      <c r="D18" t="s">
        <v>286</v>
      </c>
      <c r="E18" t="s">
        <v>47</v>
      </c>
      <c r="F18" t="s">
        <v>317</v>
      </c>
      <c r="G18" t="s">
        <v>297</v>
      </c>
      <c r="H18" t="s">
        <v>62</v>
      </c>
      <c r="I18" t="s">
        <v>318</v>
      </c>
      <c r="J18" t="s">
        <v>319</v>
      </c>
      <c r="K18" t="s">
        <v>320</v>
      </c>
    </row>
    <row r="19" spans="1:11" x14ac:dyDescent="0.25">
      <c r="A19" t="s">
        <v>220</v>
      </c>
      <c r="B19" t="s">
        <v>249</v>
      </c>
      <c r="C19" t="str">
        <f>IF($A19&lt;&gt;"", _xlfn.IFNA(VLOOKUP(RIGHT(LEFT($A19,4),3),'District LookUp Table'!$A$2:$B$19,2,FALSE), "NOT FOUND"), "")</f>
        <v>Islands</v>
      </c>
      <c r="D19" t="s">
        <v>287</v>
      </c>
      <c r="E19" t="s">
        <v>290</v>
      </c>
      <c r="F19" t="s">
        <v>61</v>
      </c>
      <c r="G19" t="s">
        <v>298</v>
      </c>
      <c r="H19" t="s">
        <v>62</v>
      </c>
      <c r="I19" t="s">
        <v>321</v>
      </c>
      <c r="J19" t="s">
        <v>322</v>
      </c>
      <c r="K19" t="s">
        <v>323</v>
      </c>
    </row>
    <row r="20" spans="1:11" x14ac:dyDescent="0.25">
      <c r="A20" t="s">
        <v>221</v>
      </c>
      <c r="C20" t="str">
        <f>IF($A20&lt;&gt;"", _xlfn.IFNA(VLOOKUP(RIGHT(LEFT($A20,4),3),'District LookUp Table'!$A$2:$B$19,2,FALSE), "NOT FOUND"), "")</f>
        <v>Islands</v>
      </c>
    </row>
    <row r="21" spans="1:11" x14ac:dyDescent="0.25">
      <c r="A21" t="s">
        <v>222</v>
      </c>
      <c r="C21" t="str">
        <f>IF($A21&lt;&gt;"", _xlfn.IFNA(VLOOKUP(RIGHT(LEFT($A21,4),3),'District LookUp Table'!$A$2:$B$19,2,FALSE), "NOT FOUND"), "")</f>
        <v>Islands</v>
      </c>
    </row>
    <row r="22" spans="1:11" x14ac:dyDescent="0.25">
      <c r="A22" t="s">
        <v>184</v>
      </c>
      <c r="B22" t="s">
        <v>250</v>
      </c>
      <c r="C22" t="str">
        <f>IF($A22&lt;&gt;"", _xlfn.IFNA(VLOOKUP(RIGHT(LEFT($A22,4),3),'District LookUp Table'!$A$2:$B$19,2,FALSE), "NOT FOUND"), "")</f>
        <v>Kowloon City</v>
      </c>
      <c r="D22" t="s">
        <v>288</v>
      </c>
      <c r="E22" t="s">
        <v>307</v>
      </c>
      <c r="F22" t="s">
        <v>378</v>
      </c>
      <c r="G22" t="s">
        <v>297</v>
      </c>
      <c r="H22" t="s">
        <v>342</v>
      </c>
      <c r="I22" t="s">
        <v>379</v>
      </c>
      <c r="J22" t="s">
        <v>380</v>
      </c>
      <c r="K22" t="s">
        <v>381</v>
      </c>
    </row>
    <row r="23" spans="1:11" x14ac:dyDescent="0.25">
      <c r="A23" t="s">
        <v>185</v>
      </c>
      <c r="B23" t="s">
        <v>251</v>
      </c>
      <c r="C23" t="str">
        <f>IF($A23&lt;&gt;"", _xlfn.IFNA(VLOOKUP(RIGHT(LEFT($A23,4),3),'District LookUp Table'!$A$2:$B$19,2,FALSE), "NOT FOUND"), "")</f>
        <v>Kowloon City</v>
      </c>
      <c r="D23" t="s">
        <v>491</v>
      </c>
      <c r="E23" t="s">
        <v>48</v>
      </c>
      <c r="F23" t="s">
        <v>382</v>
      </c>
      <c r="G23" t="s">
        <v>297</v>
      </c>
      <c r="H23" t="s">
        <v>383</v>
      </c>
      <c r="I23" t="s">
        <v>384</v>
      </c>
      <c r="J23" t="s">
        <v>385</v>
      </c>
      <c r="K23" t="s">
        <v>386</v>
      </c>
    </row>
    <row r="24" spans="1:11" x14ac:dyDescent="0.25">
      <c r="A24" t="s">
        <v>186</v>
      </c>
      <c r="B24" t="s">
        <v>252</v>
      </c>
      <c r="C24" t="str">
        <f>IF($A24&lt;&gt;"", _xlfn.IFNA(VLOOKUP(RIGHT(LEFT($A24,4),3),'District LookUp Table'!$A$2:$B$19,2,FALSE), "NOT FOUND"), "")</f>
        <v>Kowloon City</v>
      </c>
      <c r="D24" t="s">
        <v>492</v>
      </c>
      <c r="E24" t="s">
        <v>50</v>
      </c>
      <c r="F24" t="s">
        <v>327</v>
      </c>
      <c r="G24" t="s">
        <v>297</v>
      </c>
      <c r="H24" t="s">
        <v>387</v>
      </c>
      <c r="I24" t="s">
        <v>388</v>
      </c>
      <c r="J24" t="s">
        <v>389</v>
      </c>
      <c r="K24" t="s">
        <v>390</v>
      </c>
    </row>
    <row r="25" spans="1:11" x14ac:dyDescent="0.25">
      <c r="A25" t="s">
        <v>187</v>
      </c>
      <c r="C25" t="str">
        <f>IF($A25&lt;&gt;"", _xlfn.IFNA(VLOOKUP(RIGHT(LEFT($A25,4),3),'District LookUp Table'!$A$2:$B$19,2,FALSE), "NOT FOUND"), "")</f>
        <v>Kowloon City</v>
      </c>
    </row>
    <row r="26" spans="1:11" x14ac:dyDescent="0.25">
      <c r="A26" t="s">
        <v>188</v>
      </c>
      <c r="C26" t="str">
        <f>IF($A26&lt;&gt;"", _xlfn.IFNA(VLOOKUP(RIGHT(LEFT($A26,4),3),'District LookUp Table'!$A$2:$B$19,2,FALSE), "NOT FOUND"), "")</f>
        <v>Kowloon City</v>
      </c>
    </row>
    <row r="27" spans="1:11" x14ac:dyDescent="0.25">
      <c r="A27" t="s">
        <v>189</v>
      </c>
      <c r="B27" t="s">
        <v>253</v>
      </c>
      <c r="C27" t="str">
        <f>IF($A27&lt;&gt;"", _xlfn.IFNA(VLOOKUP(RIGHT(LEFT($A27,4),3),'District LookUp Table'!$A$2:$B$19,2,FALSE), "NOT FOUND"), "")</f>
        <v>Kwun Tong</v>
      </c>
      <c r="D27" t="s">
        <v>493</v>
      </c>
      <c r="E27" t="s">
        <v>307</v>
      </c>
      <c r="F27" t="s">
        <v>308</v>
      </c>
      <c r="G27" t="s">
        <v>297</v>
      </c>
      <c r="H27" t="s">
        <v>391</v>
      </c>
      <c r="I27" t="s">
        <v>392</v>
      </c>
      <c r="J27" t="s">
        <v>393</v>
      </c>
      <c r="K27" t="s">
        <v>394</v>
      </c>
    </row>
    <row r="28" spans="1:11" x14ac:dyDescent="0.25">
      <c r="A28" t="s">
        <v>190</v>
      </c>
      <c r="B28" t="s">
        <v>254</v>
      </c>
      <c r="C28" t="str">
        <f>IF($A28&lt;&gt;"", _xlfn.IFNA(VLOOKUP(RIGHT(LEFT($A28,4),3),'District LookUp Table'!$A$2:$B$19,2,FALSE), "NOT FOUND"), "")</f>
        <v>Kwun Tong</v>
      </c>
      <c r="D28" t="s">
        <v>494</v>
      </c>
      <c r="E28" t="s">
        <v>50</v>
      </c>
      <c r="F28" t="s">
        <v>308</v>
      </c>
      <c r="G28" t="s">
        <v>297</v>
      </c>
      <c r="H28" t="s">
        <v>387</v>
      </c>
      <c r="I28" t="s">
        <v>395</v>
      </c>
      <c r="J28" t="s">
        <v>396</v>
      </c>
      <c r="K28" t="s">
        <v>397</v>
      </c>
    </row>
    <row r="29" spans="1:11" x14ac:dyDescent="0.25">
      <c r="A29" t="s">
        <v>191</v>
      </c>
      <c r="C29" t="str">
        <f>IF($A29&lt;&gt;"", _xlfn.IFNA(VLOOKUP(RIGHT(LEFT($A29,4),3),'District LookUp Table'!$A$2:$B$19,2,FALSE), "NOT FOUND"), "")</f>
        <v>Kwun Tong</v>
      </c>
    </row>
    <row r="30" spans="1:11" x14ac:dyDescent="0.25">
      <c r="A30" t="s">
        <v>192</v>
      </c>
      <c r="C30" t="str">
        <f>IF($A30&lt;&gt;"", _xlfn.IFNA(VLOOKUP(RIGHT(LEFT($A30,4),3),'District LookUp Table'!$A$2:$B$19,2,FALSE), "NOT FOUND"), "")</f>
        <v>Kwun Tong</v>
      </c>
    </row>
    <row r="31" spans="1:11" x14ac:dyDescent="0.25">
      <c r="A31" t="s">
        <v>193</v>
      </c>
      <c r="C31" t="str">
        <f>IF($A31&lt;&gt;"", _xlfn.IFNA(VLOOKUP(RIGHT(LEFT($A31,4),3),'District LookUp Table'!$A$2:$B$19,2,FALSE), "NOT FOUND"), "")</f>
        <v>Kwun Tong</v>
      </c>
    </row>
    <row r="32" spans="1:11" x14ac:dyDescent="0.25">
      <c r="A32" t="s">
        <v>223</v>
      </c>
      <c r="B32" t="s">
        <v>255</v>
      </c>
      <c r="C32" t="str">
        <f>IF($A32&lt;&gt;"", _xlfn.IFNA(VLOOKUP(RIGHT(LEFT($A32,4),3),'District LookUp Table'!$A$2:$B$19,2,FALSE), "NOT FOUND"), "")</f>
        <v>Kwai Tsing</v>
      </c>
      <c r="D32" t="s">
        <v>495</v>
      </c>
      <c r="E32" t="s">
        <v>307</v>
      </c>
      <c r="F32" t="s">
        <v>382</v>
      </c>
      <c r="G32" t="s">
        <v>297</v>
      </c>
      <c r="H32" t="s">
        <v>387</v>
      </c>
      <c r="I32" t="s">
        <v>399</v>
      </c>
      <c r="J32" t="s">
        <v>400</v>
      </c>
      <c r="K32" t="s">
        <v>401</v>
      </c>
    </row>
    <row r="33" spans="1:11" x14ac:dyDescent="0.25">
      <c r="A33" t="s">
        <v>224</v>
      </c>
      <c r="B33" t="s">
        <v>398</v>
      </c>
      <c r="C33" t="str">
        <f>IF($A33&lt;&gt;"", _xlfn.IFNA(VLOOKUP(RIGHT(LEFT($A33,4),3),'District LookUp Table'!$A$2:$B$19,2,FALSE), "NOT FOUND"), "")</f>
        <v>Kwai Tsing</v>
      </c>
      <c r="D33" t="s">
        <v>496</v>
      </c>
      <c r="E33" t="s">
        <v>290</v>
      </c>
      <c r="F33" t="s">
        <v>402</v>
      </c>
      <c r="G33" t="s">
        <v>298</v>
      </c>
      <c r="H33" t="s">
        <v>403</v>
      </c>
      <c r="I33" t="s">
        <v>517</v>
      </c>
      <c r="J33" t="s">
        <v>404</v>
      </c>
      <c r="K33" t="s">
        <v>405</v>
      </c>
    </row>
    <row r="34" spans="1:11" x14ac:dyDescent="0.25">
      <c r="A34" t="s">
        <v>225</v>
      </c>
      <c r="C34" t="str">
        <f>IF($A34&lt;&gt;"", _xlfn.IFNA(VLOOKUP(RIGHT(LEFT($A34,4),3),'District LookUp Table'!$A$2:$B$19,2,FALSE), "NOT FOUND"), "")</f>
        <v>Kwai Tsing</v>
      </c>
    </row>
    <row r="35" spans="1:11" x14ac:dyDescent="0.25">
      <c r="A35" t="s">
        <v>226</v>
      </c>
      <c r="C35" t="str">
        <f>IF($A35&lt;&gt;"", _xlfn.IFNA(VLOOKUP(RIGHT(LEFT($A35,4),3),'District LookUp Table'!$A$2:$B$19,2,FALSE), "NOT FOUND"), "")</f>
        <v>Kwai Tsing</v>
      </c>
    </row>
    <row r="36" spans="1:11" x14ac:dyDescent="0.25">
      <c r="A36" t="s">
        <v>227</v>
      </c>
      <c r="C36" t="str">
        <f>IF($A36&lt;&gt;"", _xlfn.IFNA(VLOOKUP(RIGHT(LEFT($A36,4),3),'District LookUp Table'!$A$2:$B$19,2,FALSE), "NOT FOUND"), "")</f>
        <v>Kwai Tsing</v>
      </c>
    </row>
    <row r="37" spans="1:11" x14ac:dyDescent="0.25">
      <c r="A37" t="s">
        <v>213</v>
      </c>
      <c r="B37" t="s">
        <v>256</v>
      </c>
      <c r="C37" t="str">
        <f>IF($A37&lt;&gt;"", _xlfn.IFNA(VLOOKUP(RIGHT(LEFT($A37,4),3),'District LookUp Table'!$A$2:$B$19,2,FALSE), "NOT FOUND"), "")</f>
        <v>North</v>
      </c>
      <c r="D37" t="s">
        <v>497</v>
      </c>
      <c r="E37" t="s">
        <v>307</v>
      </c>
      <c r="F37" t="s">
        <v>341</v>
      </c>
      <c r="G37" t="s">
        <v>297</v>
      </c>
      <c r="H37" t="s">
        <v>342</v>
      </c>
      <c r="I37" t="s">
        <v>406</v>
      </c>
      <c r="J37" s="3" t="s">
        <v>460</v>
      </c>
      <c r="K37" t="s">
        <v>407</v>
      </c>
    </row>
    <row r="38" spans="1:11" x14ac:dyDescent="0.25">
      <c r="A38" t="s">
        <v>214</v>
      </c>
      <c r="B38" t="s">
        <v>257</v>
      </c>
      <c r="C38" t="str">
        <f>IF($A38&lt;&gt;"", _xlfn.IFNA(VLOOKUP(RIGHT(LEFT($A38,4),3),'District LookUp Table'!$A$2:$B$19,2,FALSE), "NOT FOUND"), "")</f>
        <v>North</v>
      </c>
      <c r="D38" t="s">
        <v>498</v>
      </c>
      <c r="E38" t="s">
        <v>50</v>
      </c>
      <c r="F38" t="s">
        <v>61</v>
      </c>
      <c r="G38" t="s">
        <v>297</v>
      </c>
      <c r="H38" t="s">
        <v>62</v>
      </c>
      <c r="I38" t="s">
        <v>420</v>
      </c>
      <c r="J38" t="s">
        <v>421</v>
      </c>
      <c r="K38" t="s">
        <v>422</v>
      </c>
    </row>
    <row r="39" spans="1:11" x14ac:dyDescent="0.25">
      <c r="A39" t="s">
        <v>215</v>
      </c>
      <c r="C39" t="str">
        <f>IF($A39&lt;&gt;"", _xlfn.IFNA(VLOOKUP(RIGHT(LEFT($A39,4),3),'District LookUp Table'!$A$2:$B$19,2,FALSE), "NOT FOUND"), "")</f>
        <v>North</v>
      </c>
    </row>
    <row r="40" spans="1:11" x14ac:dyDescent="0.25">
      <c r="A40" t="s">
        <v>216</v>
      </c>
      <c r="C40" t="str">
        <f>IF($A40&lt;&gt;"", _xlfn.IFNA(VLOOKUP(RIGHT(LEFT($A40,4),3),'District LookUp Table'!$A$2:$B$19,2,FALSE), "NOT FOUND"), "")</f>
        <v>North</v>
      </c>
    </row>
    <row r="41" spans="1:11" x14ac:dyDescent="0.25">
      <c r="A41" t="s">
        <v>217</v>
      </c>
      <c r="C41" t="str">
        <f>IF($A41&lt;&gt;"", _xlfn.IFNA(VLOOKUP(RIGHT(LEFT($A41,4),3),'District LookUp Table'!$A$2:$B$19,2,FALSE), "NOT FOUND"), "")</f>
        <v>North</v>
      </c>
    </row>
    <row r="42" spans="1:11" x14ac:dyDescent="0.25">
      <c r="A42" t="s">
        <v>101</v>
      </c>
      <c r="B42" t="s">
        <v>102</v>
      </c>
      <c r="C42" t="str">
        <f>IF($A42&lt;&gt;"", _xlfn.IFNA(VLOOKUP(RIGHT(LEFT($A42,4),3),'District LookUp Table'!$A$2:$B$19,2,FALSE), "NOT FOUND"), "")</f>
        <v>Sai Kung</v>
      </c>
      <c r="D42" t="s">
        <v>499</v>
      </c>
      <c r="E42" t="s">
        <v>50</v>
      </c>
      <c r="F42" t="s">
        <v>423</v>
      </c>
      <c r="G42" t="s">
        <v>424</v>
      </c>
      <c r="H42" t="s">
        <v>358</v>
      </c>
      <c r="I42" t="s">
        <v>425</v>
      </c>
      <c r="J42" t="s">
        <v>426</v>
      </c>
      <c r="K42" t="s">
        <v>427</v>
      </c>
    </row>
    <row r="43" spans="1:11" x14ac:dyDescent="0.25">
      <c r="A43" t="s">
        <v>194</v>
      </c>
      <c r="B43" t="s">
        <v>258</v>
      </c>
      <c r="C43" t="str">
        <f>IF($A43&lt;&gt;"", _xlfn.IFNA(VLOOKUP(RIGHT(LEFT($A43,4),3),'District LookUp Table'!$A$2:$B$19,2,FALSE), "NOT FOUND"), "")</f>
        <v>Sai Kung</v>
      </c>
      <c r="D43" t="s">
        <v>500</v>
      </c>
      <c r="E43" t="s">
        <v>307</v>
      </c>
      <c r="F43" t="s">
        <v>428</v>
      </c>
      <c r="G43" t="s">
        <v>297</v>
      </c>
      <c r="H43" t="s">
        <v>429</v>
      </c>
      <c r="I43" t="s">
        <v>430</v>
      </c>
      <c r="J43" t="s">
        <v>431</v>
      </c>
      <c r="K43" t="s">
        <v>432</v>
      </c>
    </row>
    <row r="44" spans="1:11" x14ac:dyDescent="0.25">
      <c r="A44" t="s">
        <v>195</v>
      </c>
      <c r="B44" t="s">
        <v>259</v>
      </c>
      <c r="C44" t="str">
        <f>IF($A44&lt;&gt;"", _xlfn.IFNA(VLOOKUP(RIGHT(LEFT($A44,4),3),'District LookUp Table'!$A$2:$B$19,2,FALSE), "NOT FOUND"), "")</f>
        <v>Sai Kung</v>
      </c>
      <c r="D44" t="s">
        <v>501</v>
      </c>
      <c r="E44" t="s">
        <v>307</v>
      </c>
      <c r="F44" t="s">
        <v>341</v>
      </c>
      <c r="G44" t="s">
        <v>297</v>
      </c>
      <c r="H44" t="s">
        <v>383</v>
      </c>
      <c r="I44" t="s">
        <v>408</v>
      </c>
      <c r="J44" t="s">
        <v>409</v>
      </c>
      <c r="K44" t="s">
        <v>410</v>
      </c>
    </row>
    <row r="45" spans="1:11" x14ac:dyDescent="0.25">
      <c r="A45" t="s">
        <v>196</v>
      </c>
      <c r="B45" t="s">
        <v>260</v>
      </c>
      <c r="C45" t="str">
        <f>IF($A45&lt;&gt;"", _xlfn.IFNA(VLOOKUP(RIGHT(LEFT($A45,4),3),'District LookUp Table'!$A$2:$B$19,2,FALSE), "NOT FOUND"), "")</f>
        <v>Sai Kung</v>
      </c>
      <c r="D45" t="s">
        <v>502</v>
      </c>
      <c r="E45" t="s">
        <v>50</v>
      </c>
      <c r="F45" t="s">
        <v>433</v>
      </c>
      <c r="G45" t="s">
        <v>297</v>
      </c>
      <c r="H45" t="s">
        <v>358</v>
      </c>
      <c r="I45" t="s">
        <v>434</v>
      </c>
      <c r="J45" t="s">
        <v>435</v>
      </c>
      <c r="K45" t="s">
        <v>436</v>
      </c>
    </row>
    <row r="46" spans="1:11" x14ac:dyDescent="0.25">
      <c r="A46" t="s">
        <v>197</v>
      </c>
      <c r="C46" t="str">
        <f>IF($A46&lt;&gt;"", _xlfn.IFNA(VLOOKUP(RIGHT(LEFT($A46,4),3),'District LookUp Table'!$A$2:$B$19,2,FALSE), "NOT FOUND"), "")</f>
        <v>Sai Kung</v>
      </c>
    </row>
    <row r="47" spans="1:11" x14ac:dyDescent="0.25">
      <c r="A47" t="s">
        <v>169</v>
      </c>
      <c r="B47" t="s">
        <v>242</v>
      </c>
      <c r="C47" t="str">
        <f>IF($A47&lt;&gt;"", _xlfn.IFNA(VLOOKUP(RIGHT(LEFT($A47,4),3),'District LookUp Table'!$A$2:$B$19,2,FALSE), "NOT FOUND"), "")</f>
        <v>Southern</v>
      </c>
      <c r="D47" t="s">
        <v>503</v>
      </c>
      <c r="E47" t="s">
        <v>307</v>
      </c>
      <c r="F47" t="s">
        <v>411</v>
      </c>
      <c r="G47" t="s">
        <v>309</v>
      </c>
      <c r="H47" t="s">
        <v>342</v>
      </c>
      <c r="I47" t="s">
        <v>412</v>
      </c>
      <c r="J47" t="s">
        <v>413</v>
      </c>
      <c r="K47" t="s">
        <v>414</v>
      </c>
    </row>
    <row r="48" spans="1:11" x14ac:dyDescent="0.25">
      <c r="A48" t="s">
        <v>170</v>
      </c>
      <c r="B48" t="s">
        <v>243</v>
      </c>
      <c r="C48" t="str">
        <f>IF($A48&lt;&gt;"", _xlfn.IFNA(VLOOKUP(RIGHT(LEFT($A48,4),3),'District LookUp Table'!$A$2:$B$19,2,FALSE), "NOT FOUND"), "")</f>
        <v>Southern</v>
      </c>
      <c r="D48" t="s">
        <v>504</v>
      </c>
      <c r="E48" t="s">
        <v>307</v>
      </c>
      <c r="F48" t="s">
        <v>415</v>
      </c>
      <c r="G48" t="s">
        <v>416</v>
      </c>
      <c r="H48" t="s">
        <v>387</v>
      </c>
      <c r="I48" t="s">
        <v>417</v>
      </c>
      <c r="J48" t="s">
        <v>418</v>
      </c>
      <c r="K48" t="s">
        <v>419</v>
      </c>
    </row>
    <row r="49" spans="1:11" x14ac:dyDescent="0.25">
      <c r="A49" t="s">
        <v>171</v>
      </c>
      <c r="B49" t="s">
        <v>261</v>
      </c>
      <c r="C49" t="str">
        <f>IF($A49&lt;&gt;"", _xlfn.IFNA(VLOOKUP(RIGHT(LEFT($A49,4),3),'District LookUp Table'!$A$2:$B$19,2,FALSE), "NOT FOUND"), "")</f>
        <v>Southern</v>
      </c>
      <c r="D49" t="s">
        <v>505</v>
      </c>
      <c r="E49" t="s">
        <v>51</v>
      </c>
      <c r="F49" t="s">
        <v>428</v>
      </c>
      <c r="G49" t="s">
        <v>297</v>
      </c>
      <c r="H49" t="s">
        <v>62</v>
      </c>
      <c r="I49" t="s">
        <v>437</v>
      </c>
      <c r="J49" t="s">
        <v>438</v>
      </c>
      <c r="K49" t="s">
        <v>439</v>
      </c>
    </row>
    <row r="50" spans="1:11" x14ac:dyDescent="0.25">
      <c r="A50" t="s">
        <v>172</v>
      </c>
      <c r="B50" t="s">
        <v>262</v>
      </c>
      <c r="C50" t="str">
        <f>IF($A50&lt;&gt;"", _xlfn.IFNA(VLOOKUP(RIGHT(LEFT($A50,4),3),'District LookUp Table'!$A$2:$B$19,2,FALSE), "NOT FOUND"), "")</f>
        <v>Southern</v>
      </c>
      <c r="D50" t="s">
        <v>506</v>
      </c>
      <c r="E50" t="s">
        <v>48</v>
      </c>
      <c r="F50" t="s">
        <v>428</v>
      </c>
      <c r="G50" t="s">
        <v>298</v>
      </c>
      <c r="H50" t="s">
        <v>440</v>
      </c>
      <c r="I50" t="s">
        <v>441</v>
      </c>
      <c r="J50" t="s">
        <v>442</v>
      </c>
      <c r="K50" t="s">
        <v>443</v>
      </c>
    </row>
    <row r="51" spans="1:11" x14ac:dyDescent="0.25">
      <c r="A51" t="s">
        <v>173</v>
      </c>
      <c r="B51" t="s">
        <v>263</v>
      </c>
      <c r="C51" t="str">
        <f>IF($A51&lt;&gt;"", _xlfn.IFNA(VLOOKUP(RIGHT(LEFT($A51,4),3),'District LookUp Table'!$A$2:$B$19,2,FALSE), "NOT FOUND"), "")</f>
        <v>Southern</v>
      </c>
      <c r="D51" t="s">
        <v>507</v>
      </c>
      <c r="E51" t="s">
        <v>307</v>
      </c>
      <c r="F51" t="s">
        <v>54</v>
      </c>
      <c r="G51" t="s">
        <v>332</v>
      </c>
      <c r="H51" t="s">
        <v>109</v>
      </c>
      <c r="I51" t="s">
        <v>444</v>
      </c>
      <c r="J51" t="s">
        <v>445</v>
      </c>
      <c r="K51" t="s">
        <v>446</v>
      </c>
    </row>
    <row r="52" spans="1:11" x14ac:dyDescent="0.25">
      <c r="A52" t="s">
        <v>154</v>
      </c>
      <c r="B52" t="s">
        <v>447</v>
      </c>
      <c r="C52" t="str">
        <f>IF($A52&lt;&gt;"", _xlfn.IFNA(VLOOKUP(RIGHT(LEFT($A52,4),3),'District LookUp Table'!$A$2:$B$19,2,FALSE), "NOT FOUND"), "")</f>
        <v>Sham Shui Po</v>
      </c>
      <c r="D52" t="s">
        <v>508</v>
      </c>
      <c r="E52" t="s">
        <v>51</v>
      </c>
      <c r="F52" t="s">
        <v>61</v>
      </c>
      <c r="G52" t="s">
        <v>367</v>
      </c>
      <c r="H52" t="s">
        <v>62</v>
      </c>
      <c r="I52" t="s">
        <v>448</v>
      </c>
      <c r="J52" t="s">
        <v>449</v>
      </c>
      <c r="K52" t="s">
        <v>450</v>
      </c>
    </row>
    <row r="53" spans="1:11" x14ac:dyDescent="0.25">
      <c r="A53" t="s">
        <v>155</v>
      </c>
      <c r="B53" t="s">
        <v>264</v>
      </c>
      <c r="C53" t="str">
        <f>IF($A53&lt;&gt;"", _xlfn.IFNA(VLOOKUP(RIGHT(LEFT($A53,4),3),'District LookUp Table'!$A$2:$B$19,2,FALSE), "NOT FOUND"), "")</f>
        <v>Sham Shui Po</v>
      </c>
      <c r="D53" t="s">
        <v>509</v>
      </c>
      <c r="E53" t="s">
        <v>51</v>
      </c>
      <c r="F53" t="s">
        <v>61</v>
      </c>
      <c r="G53" t="s">
        <v>453</v>
      </c>
      <c r="H53" t="s">
        <v>62</v>
      </c>
      <c r="I53" t="s">
        <v>454</v>
      </c>
      <c r="J53" t="s">
        <v>455</v>
      </c>
      <c r="K53" t="s">
        <v>456</v>
      </c>
    </row>
    <row r="54" spans="1:11" x14ac:dyDescent="0.25">
      <c r="A54" t="s">
        <v>156</v>
      </c>
      <c r="C54" t="str">
        <f>IF($A54&lt;&gt;"", _xlfn.IFNA(VLOOKUP(RIGHT(LEFT($A54,4),3),'District LookUp Table'!$A$2:$B$19,2,FALSE), "NOT FOUND"), "")</f>
        <v>Sham Shui Po</v>
      </c>
    </row>
    <row r="55" spans="1:11" x14ac:dyDescent="0.25">
      <c r="A55" t="s">
        <v>157</v>
      </c>
      <c r="C55" t="str">
        <f>IF($A55&lt;&gt;"", _xlfn.IFNA(VLOOKUP(RIGHT(LEFT($A55,4),3),'District LookUp Table'!$A$2:$B$19,2,FALSE), "NOT FOUND"), "")</f>
        <v>Sham Shui Po</v>
      </c>
    </row>
    <row r="56" spans="1:11" x14ac:dyDescent="0.25">
      <c r="A56" t="s">
        <v>158</v>
      </c>
      <c r="C56" t="str">
        <f>IF($A56&lt;&gt;"", _xlfn.IFNA(VLOOKUP(RIGHT(LEFT($A56,4),3),'District LookUp Table'!$A$2:$B$19,2,FALSE), "NOT FOUND"), "")</f>
        <v>Sham Shui Po</v>
      </c>
    </row>
    <row r="57" spans="1:11" x14ac:dyDescent="0.25">
      <c r="A57" t="s">
        <v>198</v>
      </c>
      <c r="B57" t="s">
        <v>265</v>
      </c>
      <c r="C57" t="str">
        <f>IF($A57&lt;&gt;"", _xlfn.IFNA(VLOOKUP(RIGHT(LEFT($A57,4),3),'District LookUp Table'!$A$2:$B$19,2,FALSE), "NOT FOUND"), "")</f>
        <v>Sha Tin</v>
      </c>
      <c r="D57" t="s">
        <v>510</v>
      </c>
      <c r="E57" t="s">
        <v>296</v>
      </c>
      <c r="F57" t="s">
        <v>56</v>
      </c>
      <c r="G57" t="s">
        <v>297</v>
      </c>
      <c r="H57" t="s">
        <v>109</v>
      </c>
      <c r="I57" t="s">
        <v>457</v>
      </c>
      <c r="J57" t="s">
        <v>458</v>
      </c>
      <c r="K57" t="s">
        <v>459</v>
      </c>
    </row>
    <row r="58" spans="1:11" x14ac:dyDescent="0.25">
      <c r="A58" t="s">
        <v>199</v>
      </c>
      <c r="B58" t="s">
        <v>266</v>
      </c>
      <c r="C58" t="str">
        <f>IF($A58&lt;&gt;"", _xlfn.IFNA(VLOOKUP(RIGHT(LEFT($A58,4),3),'District LookUp Table'!$A$2:$B$19,2,FALSE), "NOT FOUND"), "")</f>
        <v>Sha Tin</v>
      </c>
      <c r="D58" t="s">
        <v>511</v>
      </c>
    </row>
    <row r="59" spans="1:11" x14ac:dyDescent="0.25">
      <c r="A59" t="s">
        <v>200</v>
      </c>
      <c r="B59" t="s">
        <v>267</v>
      </c>
      <c r="C59" t="str">
        <f>IF($A59&lt;&gt;"", _xlfn.IFNA(VLOOKUP(RIGHT(LEFT($A59,4),3),'District LookUp Table'!$A$2:$B$19,2,FALSE), "NOT FOUND"), "")</f>
        <v>Sha Tin</v>
      </c>
      <c r="D59" t="s">
        <v>512</v>
      </c>
    </row>
    <row r="60" spans="1:11" x14ac:dyDescent="0.25">
      <c r="A60" t="s">
        <v>201</v>
      </c>
      <c r="B60" t="s">
        <v>268</v>
      </c>
      <c r="C60" t="str">
        <f>IF($A60&lt;&gt;"", _xlfn.IFNA(VLOOKUP(RIGHT(LEFT($A60,4),3),'District LookUp Table'!$A$2:$B$19,2,FALSE), "NOT FOUND"), "")</f>
        <v>Sha Tin</v>
      </c>
      <c r="D60" t="s">
        <v>513</v>
      </c>
    </row>
    <row r="61" spans="1:11" x14ac:dyDescent="0.25">
      <c r="A61" t="s">
        <v>202</v>
      </c>
      <c r="B61" t="s">
        <v>269</v>
      </c>
      <c r="C61" t="str">
        <f>IF($A61&lt;&gt;"", _xlfn.IFNA(VLOOKUP(RIGHT(LEFT($A61,4),3),'District LookUp Table'!$A$2:$B$19,2,FALSE), "NOT FOUND"), "")</f>
        <v>Sha Tin</v>
      </c>
      <c r="D61" t="s">
        <v>514</v>
      </c>
    </row>
    <row r="62" spans="1:11" x14ac:dyDescent="0.25">
      <c r="A62" t="s">
        <v>42</v>
      </c>
      <c r="B62" t="s">
        <v>90</v>
      </c>
      <c r="C62" t="str">
        <f>IF($A62&lt;&gt;"", _xlfn.IFNA(VLOOKUP(RIGHT(LEFT($A62,4),3),'District LookUp Table'!$A$2:$B$19,2,FALSE), "NOT FOUND"), "")</f>
        <v>Tuen Mun</v>
      </c>
      <c r="D62" t="s">
        <v>91</v>
      </c>
      <c r="E62" t="s">
        <v>307</v>
      </c>
      <c r="F62" t="s">
        <v>60</v>
      </c>
      <c r="G62" t="s">
        <v>297</v>
      </c>
      <c r="H62" t="s">
        <v>428</v>
      </c>
      <c r="I62" t="s">
        <v>488</v>
      </c>
      <c r="J62" t="s">
        <v>489</v>
      </c>
      <c r="K62" t="s">
        <v>490</v>
      </c>
    </row>
    <row r="63" spans="1:11" x14ac:dyDescent="0.25">
      <c r="A63" t="s">
        <v>92</v>
      </c>
      <c r="B63" t="s">
        <v>93</v>
      </c>
      <c r="C63" t="str">
        <f>IF($A63&lt;&gt;"", _xlfn.IFNA(VLOOKUP(RIGHT(LEFT($A63,4),3),'District LookUp Table'!$A$2:$B$19,2,FALSE), "NOT FOUND"), "")</f>
        <v>Tuen Mun</v>
      </c>
      <c r="D63" t="s">
        <v>94</v>
      </c>
      <c r="E63" t="s">
        <v>51</v>
      </c>
    </row>
    <row r="64" spans="1:11" x14ac:dyDescent="0.25">
      <c r="A64" t="s">
        <v>95</v>
      </c>
      <c r="B64" t="s">
        <v>97</v>
      </c>
      <c r="C64" t="str">
        <f>IF($A64&lt;&gt;"", _xlfn.IFNA(VLOOKUP(RIGHT(LEFT($A64,4),3),'District LookUp Table'!$A$2:$B$19,2,FALSE), "NOT FOUND"), "")</f>
        <v>Tuen Mun</v>
      </c>
      <c r="D64" t="s">
        <v>96</v>
      </c>
      <c r="E64" t="s">
        <v>50</v>
      </c>
    </row>
    <row r="65" spans="1:8" x14ac:dyDescent="0.25">
      <c r="A65" t="s">
        <v>98</v>
      </c>
      <c r="B65" t="s">
        <v>100</v>
      </c>
      <c r="C65" t="str">
        <f>IF($A65&lt;&gt;"", _xlfn.IFNA(VLOOKUP(RIGHT(LEFT($A65,4),3),'District LookUp Table'!$A$2:$B$19,2,FALSE), "NOT FOUND"), "")</f>
        <v>Tuen Mun</v>
      </c>
      <c r="D65" t="s">
        <v>99</v>
      </c>
      <c r="E65" t="s">
        <v>47</v>
      </c>
      <c r="H65" t="s">
        <v>79</v>
      </c>
    </row>
    <row r="66" spans="1:8" x14ac:dyDescent="0.25">
      <c r="A66" t="s">
        <v>148</v>
      </c>
      <c r="C66" t="str">
        <f>IF($A66&lt;&gt;"", _xlfn.IFNA(VLOOKUP(RIGHT(LEFT($A66,4),3),'District LookUp Table'!$A$2:$B$19,2,FALSE), "NOT FOUND"), "")</f>
        <v>Tuen Mun</v>
      </c>
    </row>
    <row r="67" spans="1:8" x14ac:dyDescent="0.25">
      <c r="A67" t="s">
        <v>103</v>
      </c>
      <c r="B67" t="s">
        <v>104</v>
      </c>
      <c r="C67" t="str">
        <f>IF($A67&lt;&gt;"", _xlfn.IFNA(VLOOKUP(RIGHT(LEFT($A67,4),3),'District LookUp Table'!$A$2:$B$19,2,FALSE), "NOT FOUND"), "")</f>
        <v>Tai Po</v>
      </c>
      <c r="D67" t="s">
        <v>515</v>
      </c>
    </row>
    <row r="68" spans="1:8" x14ac:dyDescent="0.25">
      <c r="A68" t="s">
        <v>105</v>
      </c>
      <c r="B68" t="s">
        <v>106</v>
      </c>
      <c r="C68" t="str">
        <f>IF($A68&lt;&gt;"", _xlfn.IFNA(VLOOKUP(RIGHT(LEFT($A68,4),3),'District LookUp Table'!$A$2:$B$19,2,FALSE), "NOT FOUND"), "")</f>
        <v>Tai Po</v>
      </c>
      <c r="D68" t="s">
        <v>516</v>
      </c>
    </row>
    <row r="69" spans="1:8" x14ac:dyDescent="0.25">
      <c r="A69" t="s">
        <v>203</v>
      </c>
      <c r="C69" t="str">
        <f>IF($A69&lt;&gt;"", _xlfn.IFNA(VLOOKUP(RIGHT(LEFT($A69,4),3),'District LookUp Table'!$A$2:$B$19,2,FALSE), "NOT FOUND"), "")</f>
        <v>Tai Po</v>
      </c>
    </row>
    <row r="70" spans="1:8" x14ac:dyDescent="0.25">
      <c r="A70" t="s">
        <v>204</v>
      </c>
      <c r="C70" t="str">
        <f>IF($A70&lt;&gt;"", _xlfn.IFNA(VLOOKUP(RIGHT(LEFT($A70,4),3),'District LookUp Table'!$A$2:$B$19,2,FALSE), "NOT FOUND"), "")</f>
        <v>Tai Po</v>
      </c>
    </row>
    <row r="71" spans="1:8" x14ac:dyDescent="0.25">
      <c r="A71" t="s">
        <v>205</v>
      </c>
      <c r="C71" t="str">
        <f>IF($A71&lt;&gt;"", _xlfn.IFNA(VLOOKUP(RIGHT(LEFT($A71,4),3),'District LookUp Table'!$A$2:$B$19,2,FALSE), "NOT FOUND"), "")</f>
        <v>Tai Po</v>
      </c>
    </row>
    <row r="72" spans="1:8" x14ac:dyDescent="0.25">
      <c r="A72" t="s">
        <v>149</v>
      </c>
      <c r="C72" t="str">
        <f>IF($A72&lt;&gt;"", _xlfn.IFNA(VLOOKUP(RIGHT(LEFT($A72,4),3),'District LookUp Table'!$A$2:$B$19,2,FALSE), "NOT FOUND"), "")</f>
        <v>Tsuen Wan</v>
      </c>
    </row>
    <row r="73" spans="1:8" x14ac:dyDescent="0.25">
      <c r="A73" t="s">
        <v>150</v>
      </c>
      <c r="C73" t="str">
        <f>IF($A73&lt;&gt;"", _xlfn.IFNA(VLOOKUP(RIGHT(LEFT($A73,4),3),'District LookUp Table'!$A$2:$B$19,2,FALSE), "NOT FOUND"), "")</f>
        <v>Tsuen Wan</v>
      </c>
    </row>
    <row r="74" spans="1:8" x14ac:dyDescent="0.25">
      <c r="A74" t="s">
        <v>151</v>
      </c>
      <c r="C74" t="str">
        <f>IF($A74&lt;&gt;"", _xlfn.IFNA(VLOOKUP(RIGHT(LEFT($A74,4),3),'District LookUp Table'!$A$2:$B$19,2,FALSE), "NOT FOUND"), "")</f>
        <v>Tsuen Wan</v>
      </c>
    </row>
    <row r="75" spans="1:8" x14ac:dyDescent="0.25">
      <c r="A75" t="s">
        <v>152</v>
      </c>
      <c r="C75" t="str">
        <f>IF($A75&lt;&gt;"", _xlfn.IFNA(VLOOKUP(RIGHT(LEFT($A75,4),3),'District LookUp Table'!$A$2:$B$19,2,FALSE), "NOT FOUND"), "")</f>
        <v>Tsuen Wan</v>
      </c>
    </row>
    <row r="76" spans="1:8" x14ac:dyDescent="0.25">
      <c r="A76" t="s">
        <v>153</v>
      </c>
      <c r="C76" t="str">
        <f>IF($A76&lt;&gt;"", _xlfn.IFNA(VLOOKUP(RIGHT(LEFT($A76,4),3),'District LookUp Table'!$A$2:$B$19,2,FALSE), "NOT FOUND"), "")</f>
        <v>Tsuen Wan</v>
      </c>
    </row>
    <row r="77" spans="1:8" x14ac:dyDescent="0.25">
      <c r="A77" t="s">
        <v>174</v>
      </c>
      <c r="C77" t="str">
        <f>IF($A77&lt;&gt;"", _xlfn.IFNA(VLOOKUP(RIGHT(LEFT($A77,4),3),'District LookUp Table'!$A$2:$B$19,2,FALSE), "NOT FOUND"), "")</f>
        <v>Wan Chai</v>
      </c>
    </row>
    <row r="78" spans="1:8" x14ac:dyDescent="0.25">
      <c r="A78" t="s">
        <v>175</v>
      </c>
      <c r="C78" t="str">
        <f>IF($A78&lt;&gt;"", _xlfn.IFNA(VLOOKUP(RIGHT(LEFT($A78,4),3),'District LookUp Table'!$A$2:$B$19,2,FALSE), "NOT FOUND"), "")</f>
        <v>Wan Chai</v>
      </c>
    </row>
    <row r="79" spans="1:8" x14ac:dyDescent="0.25">
      <c r="A79" t="s">
        <v>176</v>
      </c>
      <c r="C79" t="str">
        <f>IF($A79&lt;&gt;"", _xlfn.IFNA(VLOOKUP(RIGHT(LEFT($A79,4),3),'District LookUp Table'!$A$2:$B$19,2,FALSE), "NOT FOUND"), "")</f>
        <v>Wan Chai</v>
      </c>
    </row>
    <row r="80" spans="1:8" x14ac:dyDescent="0.25">
      <c r="A80" t="s">
        <v>177</v>
      </c>
      <c r="C80" t="str">
        <f>IF($A80&lt;&gt;"", _xlfn.IFNA(VLOOKUP(RIGHT(LEFT($A80,4),3),'District LookUp Table'!$A$2:$B$19,2,FALSE), "NOT FOUND"), "")</f>
        <v>Wan Chai</v>
      </c>
    </row>
    <row r="81" spans="1:12" x14ac:dyDescent="0.25">
      <c r="A81" t="s">
        <v>178</v>
      </c>
      <c r="C81" t="str">
        <f>IF($A81&lt;&gt;"", _xlfn.IFNA(VLOOKUP(RIGHT(LEFT($A81,4),3),'District LookUp Table'!$A$2:$B$19,2,FALSE), "NOT FOUND"), "")</f>
        <v>Wan Chai</v>
      </c>
    </row>
    <row r="82" spans="1:12" x14ac:dyDescent="0.25">
      <c r="A82" t="s">
        <v>206</v>
      </c>
      <c r="C82" t="str">
        <f>IF($A82&lt;&gt;"", _xlfn.IFNA(VLOOKUP(RIGHT(LEFT($A82,4),3),'District LookUp Table'!$A$2:$B$19,2,FALSE), "NOT FOUND"), "")</f>
        <v>Wong Tai Sin</v>
      </c>
    </row>
    <row r="83" spans="1:12" x14ac:dyDescent="0.25">
      <c r="A83" t="s">
        <v>209</v>
      </c>
      <c r="C83" t="str">
        <f>IF($A83&lt;&gt;"", _xlfn.IFNA(VLOOKUP(RIGHT(LEFT($A83,4),3),'District LookUp Table'!$A$2:$B$19,2,FALSE), "NOT FOUND"), "")</f>
        <v>Wong Tai Sin</v>
      </c>
    </row>
    <row r="84" spans="1:12" x14ac:dyDescent="0.25">
      <c r="A84" t="s">
        <v>210</v>
      </c>
      <c r="C84" t="str">
        <f>IF($A84&lt;&gt;"", _xlfn.IFNA(VLOOKUP(RIGHT(LEFT($A84,4),3),'District LookUp Table'!$A$2:$B$19,2,FALSE), "NOT FOUND"), "")</f>
        <v>Wong Tai Sin</v>
      </c>
    </row>
    <row r="85" spans="1:12" x14ac:dyDescent="0.25">
      <c r="A85" t="s">
        <v>211</v>
      </c>
      <c r="C85" t="str">
        <f>IF($A85&lt;&gt;"", _xlfn.IFNA(VLOOKUP(RIGHT(LEFT($A85,4),3),'District LookUp Table'!$A$2:$B$19,2,FALSE), "NOT FOUND"), "")</f>
        <v>Wong Tai Sin</v>
      </c>
    </row>
    <row r="86" spans="1:12" x14ac:dyDescent="0.25">
      <c r="A86" t="s">
        <v>212</v>
      </c>
      <c r="C86" t="str">
        <f>IF($A86&lt;&gt;"", _xlfn.IFNA(VLOOKUP(RIGHT(LEFT($A86,4),3),'District LookUp Table'!$A$2:$B$19,2,FALSE), "NOT FOUND"), "")</f>
        <v>Wong Tai Sin</v>
      </c>
    </row>
    <row r="87" spans="1:12" x14ac:dyDescent="0.25">
      <c r="A87" t="s">
        <v>43</v>
      </c>
      <c r="B87" s="1" t="s">
        <v>44</v>
      </c>
      <c r="C87" t="str">
        <f>IF($A87&lt;&gt;"", _xlfn.IFNA(VLOOKUP(RIGHT(LEFT($A87,4),3),'District LookUp Table'!$A$2:$B$19,2,FALSE), "NOT FOUND"), "")</f>
        <v>Yuen Long</v>
      </c>
      <c r="D87" t="s">
        <v>45</v>
      </c>
      <c r="E87" t="s">
        <v>49</v>
      </c>
      <c r="F87" t="s">
        <v>61</v>
      </c>
      <c r="G87" t="s">
        <v>367</v>
      </c>
      <c r="H87" t="s">
        <v>61</v>
      </c>
      <c r="I87" t="s">
        <v>461</v>
      </c>
      <c r="J87" t="s">
        <v>462</v>
      </c>
      <c r="K87" t="s">
        <v>463</v>
      </c>
    </row>
    <row r="88" spans="1:12" x14ac:dyDescent="0.25">
      <c r="A88" t="s">
        <v>68</v>
      </c>
      <c r="B88" t="s">
        <v>69</v>
      </c>
      <c r="C88" t="str">
        <f>IF($A88&lt;&gt;"", _xlfn.IFNA(VLOOKUP(RIGHT(LEFT($A88,4),3),'District LookUp Table'!$A$2:$B$19,2,FALSE), "NOT FOUND"), "")</f>
        <v>Yuen Long</v>
      </c>
      <c r="D88" t="s">
        <v>70</v>
      </c>
      <c r="E88" t="s">
        <v>307</v>
      </c>
      <c r="F88" t="s">
        <v>428</v>
      </c>
      <c r="G88" t="s">
        <v>297</v>
      </c>
      <c r="H88" t="s">
        <v>464</v>
      </c>
      <c r="I88" t="s">
        <v>465</v>
      </c>
      <c r="J88" t="s">
        <v>466</v>
      </c>
      <c r="K88" t="s">
        <v>467</v>
      </c>
    </row>
    <row r="89" spans="1:12" x14ac:dyDescent="0.25">
      <c r="A89" t="s">
        <v>71</v>
      </c>
      <c r="B89" t="s">
        <v>72</v>
      </c>
      <c r="C89" t="str">
        <f>IF($A89&lt;&gt;"", _xlfn.IFNA(VLOOKUP(RIGHT(LEFT($A89,4),3),'District LookUp Table'!$A$2:$B$19,2,FALSE), "NOT FOUND"), "")</f>
        <v>Yuen Long</v>
      </c>
      <c r="D89" t="s">
        <v>73</v>
      </c>
      <c r="E89" t="s">
        <v>49</v>
      </c>
      <c r="F89" t="s">
        <v>60</v>
      </c>
      <c r="G89" t="s">
        <v>297</v>
      </c>
      <c r="H89" t="s">
        <v>468</v>
      </c>
      <c r="I89" t="s">
        <v>469</v>
      </c>
      <c r="J89" t="s">
        <v>470</v>
      </c>
      <c r="K89" t="s">
        <v>471</v>
      </c>
    </row>
    <row r="90" spans="1:12" x14ac:dyDescent="0.25">
      <c r="A90" t="s">
        <v>74</v>
      </c>
      <c r="B90" t="s">
        <v>472</v>
      </c>
      <c r="C90" t="str">
        <f>IF($A90&lt;&gt;"", _xlfn.IFNA(VLOOKUP(RIGHT(LEFT($A90,4),3),'District LookUp Table'!$A$2:$B$19,2,FALSE), "NOT FOUND"), "")</f>
        <v>Yuen Long</v>
      </c>
      <c r="D90" t="s">
        <v>75</v>
      </c>
      <c r="E90" t="s">
        <v>50</v>
      </c>
      <c r="F90" t="s">
        <v>307</v>
      </c>
      <c r="G90" t="s">
        <v>60</v>
      </c>
      <c r="H90" t="s">
        <v>297</v>
      </c>
      <c r="I90" t="s">
        <v>109</v>
      </c>
      <c r="J90" t="s">
        <v>473</v>
      </c>
      <c r="K90" t="s">
        <v>474</v>
      </c>
      <c r="L90" t="s">
        <v>475</v>
      </c>
    </row>
    <row r="91" spans="1:12" x14ac:dyDescent="0.25">
      <c r="A91" t="s">
        <v>76</v>
      </c>
      <c r="B91" t="s">
        <v>77</v>
      </c>
      <c r="C91" t="str">
        <f>IF($A91&lt;&gt;"", _xlfn.IFNA(VLOOKUP(RIGHT(LEFT($A91,4),3),'District LookUp Table'!$A$2:$B$19,2,FALSE), "NOT FOUND"), "")</f>
        <v>Yuen Long</v>
      </c>
      <c r="D91" t="s">
        <v>78</v>
      </c>
      <c r="E91" t="s">
        <v>47</v>
      </c>
      <c r="F91" t="s">
        <v>307</v>
      </c>
      <c r="G91" t="s">
        <v>54</v>
      </c>
      <c r="H91" t="s">
        <v>332</v>
      </c>
      <c r="I91" t="s">
        <v>109</v>
      </c>
      <c r="J91" t="s">
        <v>476</v>
      </c>
      <c r="K91" t="s">
        <v>477</v>
      </c>
      <c r="L91" t="s">
        <v>478</v>
      </c>
    </row>
    <row r="92" spans="1:12" x14ac:dyDescent="0.25">
      <c r="A92" t="s">
        <v>80</v>
      </c>
      <c r="B92" t="s">
        <v>81</v>
      </c>
      <c r="C92" t="str">
        <f>IF($A92&lt;&gt;"", _xlfn.IFNA(VLOOKUP(RIGHT(LEFT($A92,4),3),'District LookUp Table'!$A$2:$B$19,2,FALSE), "NOT FOUND"), "")</f>
        <v>Yuen Long</v>
      </c>
      <c r="D92" t="s">
        <v>82</v>
      </c>
      <c r="E92" t="s">
        <v>307</v>
      </c>
      <c r="F92" t="s">
        <v>428</v>
      </c>
      <c r="G92" t="s">
        <v>297</v>
      </c>
      <c r="H92" t="s">
        <v>109</v>
      </c>
      <c r="I92" t="s">
        <v>481</v>
      </c>
      <c r="J92" t="s">
        <v>479</v>
      </c>
      <c r="K92" t="s">
        <v>480</v>
      </c>
    </row>
    <row r="93" spans="1:12" x14ac:dyDescent="0.25">
      <c r="A93" t="s">
        <v>84</v>
      </c>
      <c r="B93" t="s">
        <v>85</v>
      </c>
      <c r="C93" t="str">
        <f>IF($A93&lt;&gt;"", _xlfn.IFNA(VLOOKUP(RIGHT(LEFT($A93,4),3),'District LookUp Table'!$A$2:$B$19,2,FALSE), "NOT FOUND"), "")</f>
        <v>Yuen Long</v>
      </c>
      <c r="D93" t="s">
        <v>86</v>
      </c>
      <c r="E93" t="s">
        <v>48</v>
      </c>
      <c r="F93" t="s">
        <v>51</v>
      </c>
      <c r="G93" t="s">
        <v>61</v>
      </c>
      <c r="H93" t="s">
        <v>297</v>
      </c>
      <c r="I93" t="s">
        <v>363</v>
      </c>
      <c r="J93" t="s">
        <v>482</v>
      </c>
      <c r="K93" t="s">
        <v>483</v>
      </c>
      <c r="L93" t="s">
        <v>484</v>
      </c>
    </row>
    <row r="94" spans="1:12" x14ac:dyDescent="0.25">
      <c r="A94" t="s">
        <v>87</v>
      </c>
      <c r="B94" t="s">
        <v>107</v>
      </c>
      <c r="C94" t="str">
        <f>IF($A94&lt;&gt;"", _xlfn.IFNA(VLOOKUP(RIGHT(LEFT($A94,4),3),'District LookUp Table'!$A$2:$B$19,2,FALSE), "NOT FOUND"), "")</f>
        <v>Yuen Long</v>
      </c>
      <c r="D94" t="s">
        <v>108</v>
      </c>
      <c r="E94" t="s">
        <v>50</v>
      </c>
      <c r="F94" t="s">
        <v>61</v>
      </c>
      <c r="G94" t="s">
        <v>297</v>
      </c>
      <c r="H94" t="s">
        <v>109</v>
      </c>
      <c r="I94" t="s">
        <v>485</v>
      </c>
      <c r="J94" t="s">
        <v>486</v>
      </c>
      <c r="K94" t="s">
        <v>487</v>
      </c>
    </row>
    <row r="95" spans="1:12" x14ac:dyDescent="0.25">
      <c r="A95" t="s">
        <v>88</v>
      </c>
      <c r="C95" t="str">
        <f>IF($A95&lt;&gt;"", _xlfn.IFNA(VLOOKUP(RIGHT(LEFT($A95,4),3),'District LookUp Table'!$A$2:$B$19,2,FALSE), "NOT FOUND"), "")</f>
        <v>Yuen Long</v>
      </c>
    </row>
    <row r="96" spans="1:12" x14ac:dyDescent="0.25">
      <c r="A96" t="s">
        <v>89</v>
      </c>
      <c r="C96" t="str">
        <f>IF($A96&lt;&gt;"", _xlfn.IFNA(VLOOKUP(RIGHT(LEFT($A96,4),3),'District LookUp Table'!$A$2:$B$19,2,FALSE), "NOT FOUND"), "")</f>
        <v>Yuen Long</v>
      </c>
    </row>
    <row r="97" spans="1:3" x14ac:dyDescent="0.25">
      <c r="A97" t="s">
        <v>159</v>
      </c>
      <c r="C97" t="str">
        <f>IF($A97&lt;&gt;"", _xlfn.IFNA(VLOOKUP(RIGHT(LEFT($A97,4),3),'District LookUp Table'!$A$2:$B$19,2,FALSE), "NOT FOUND"), "")</f>
        <v>Yau Tsim Mong</v>
      </c>
    </row>
    <row r="98" spans="1:3" x14ac:dyDescent="0.25">
      <c r="A98" t="s">
        <v>160</v>
      </c>
      <c r="C98" t="str">
        <f>IF($A98&lt;&gt;"", _xlfn.IFNA(VLOOKUP(RIGHT(LEFT($A98,4),3),'District LookUp Table'!$A$2:$B$19,2,FALSE), "NOT FOUND"), "")</f>
        <v>Yau Tsim Mong</v>
      </c>
    </row>
    <row r="99" spans="1:3" x14ac:dyDescent="0.25">
      <c r="A99" t="s">
        <v>161</v>
      </c>
      <c r="C99" t="str">
        <f>IF($A99&lt;&gt;"", _xlfn.IFNA(VLOOKUP(RIGHT(LEFT($A99,4),3),'District LookUp Table'!$A$2:$B$19,2,FALSE), "NOT FOUND"), "")</f>
        <v>Yau Tsim Mong</v>
      </c>
    </row>
    <row r="100" spans="1:3" x14ac:dyDescent="0.25">
      <c r="A100" t="s">
        <v>162</v>
      </c>
      <c r="C100" t="str">
        <f>IF($A100&lt;&gt;"", _xlfn.IFNA(VLOOKUP(RIGHT(LEFT($A100,4),3),'District LookUp Table'!$A$2:$B$19,2,FALSE), "NOT FOUND"), "")</f>
        <v>Yau Tsim Mong</v>
      </c>
    </row>
    <row r="101" spans="1:3" x14ac:dyDescent="0.25">
      <c r="A101" t="s">
        <v>163</v>
      </c>
      <c r="C101" t="str">
        <f>IF($A101&lt;&gt;"", _xlfn.IFNA(VLOOKUP(RIGHT(LEFT($A101,4),3),'District LookUp Table'!$A$2:$B$19,2,FALSE), "NOT FOUND"), "")</f>
        <v>Yau Tsim Mong</v>
      </c>
    </row>
    <row r="102" spans="1:3" x14ac:dyDescent="0.25">
      <c r="C102" t="str">
        <f>IF($A102&lt;&gt;"", _xlfn.IFNA(VLOOKUP(RIGHT(LEFT($A102,4),3),'District LookUp Table'!$A$2:$B$19,2,FALSE), "NOT FOUND"), "")</f>
        <v/>
      </c>
    </row>
    <row r="103" spans="1:3" x14ac:dyDescent="0.25">
      <c r="C103" t="str">
        <f>IF($A103&lt;&gt;"", _xlfn.IFNA(VLOOKUP(RIGHT(LEFT($A103,4),3),'District LookUp Table'!$A$2:$B$19,2,FALSE), "NOT FOUND"), "")</f>
        <v/>
      </c>
    </row>
    <row r="104" spans="1:3" x14ac:dyDescent="0.25">
      <c r="C104" t="str">
        <f>IF($A104&lt;&gt;"", _xlfn.IFNA(VLOOKUP(RIGHT(LEFT($A104,4),3),'District LookUp Table'!$A$2:$B$19,2,FALSE), "NOT FOUND"), "")</f>
        <v/>
      </c>
    </row>
    <row r="105" spans="1:3" x14ac:dyDescent="0.25">
      <c r="C105" t="str">
        <f>IF($A105&lt;&gt;"", _xlfn.IFNA(VLOOKUP(RIGHT(LEFT($A105,4),3),'District LookUp Table'!$A$2:$B$19,2,FALSE), "NOT FOUND"), "")</f>
        <v/>
      </c>
    </row>
    <row r="106" spans="1:3" x14ac:dyDescent="0.25">
      <c r="C106" t="str">
        <f>IF($A106&lt;&gt;"", _xlfn.IFNA(VLOOKUP(RIGHT(LEFT($A106,4),3),'District LookUp Table'!$A$2:$B$19,2,FALSE), "NOT FOUND"), "")</f>
        <v/>
      </c>
    </row>
    <row r="107" spans="1:3" x14ac:dyDescent="0.25">
      <c r="C107" t="str">
        <f>IF($A107&lt;&gt;"", _xlfn.IFNA(VLOOKUP(RIGHT(LEFT($A107,4),3),'District LookUp Table'!$A$2:$B$19,2,FALSE), "NOT FOUND"), "")</f>
        <v/>
      </c>
    </row>
    <row r="108" spans="1:3" x14ac:dyDescent="0.25">
      <c r="C108" t="str">
        <f>IF($A108&lt;&gt;"", _xlfn.IFNA(VLOOKUP(RIGHT(LEFT($A108,4),3),'District LookUp Table'!$A$2:$B$19,2,FALSE), "NOT FOUND"), "")</f>
        <v/>
      </c>
    </row>
    <row r="109" spans="1:3" x14ac:dyDescent="0.25">
      <c r="C109" t="str">
        <f>IF($A109&lt;&gt;"", _xlfn.IFNA(VLOOKUP(RIGHT(LEFT($A109,4),3),'District LookUp Table'!$A$2:$B$19,2,FALSE), "NOT FOUND"), "")</f>
        <v/>
      </c>
    </row>
    <row r="110" spans="1:3" x14ac:dyDescent="0.25">
      <c r="C110" t="str">
        <f>IF($A110&lt;&gt;"", _xlfn.IFNA(VLOOKUP(RIGHT(LEFT($A110,4),3),'District LookUp Table'!$A$2:$B$19,2,FALSE), "NOT FOUND"), "")</f>
        <v/>
      </c>
    </row>
    <row r="111" spans="1:3" x14ac:dyDescent="0.25">
      <c r="C111" t="str">
        <f>IF($A111&lt;&gt;"", _xlfn.IFNA(VLOOKUP(RIGHT(LEFT($A111,4),3),'District LookUp Table'!$A$2:$B$19,2,FALSE), "NOT FOUND"), "")</f>
        <v/>
      </c>
    </row>
    <row r="112" spans="1:3" x14ac:dyDescent="0.25">
      <c r="C112" t="str">
        <f>IF($A112&lt;&gt;"", _xlfn.IFNA(VLOOKUP(RIGHT(LEFT($A112,4),3),'District LookUp Table'!$A$2:$B$19,2,FALSE), "NOT FOUND"), "")</f>
        <v/>
      </c>
    </row>
    <row r="113" spans="3:3" x14ac:dyDescent="0.25">
      <c r="C113" t="str">
        <f>IF($A113&lt;&gt;"", _xlfn.IFNA(VLOOKUP(RIGHT(LEFT($A113,4),3),'District LookUp Table'!$A$2:$B$19,2,FALSE), "NOT FOUND"), "")</f>
        <v/>
      </c>
    </row>
    <row r="114" spans="3:3" x14ac:dyDescent="0.25">
      <c r="C114" t="str">
        <f>IF($A114&lt;&gt;"", _xlfn.IFNA(VLOOKUP(RIGHT(LEFT($A114,4),3),'District LookUp Table'!$A$2:$B$19,2,FALSE), "NOT FOUND"), "")</f>
        <v/>
      </c>
    </row>
    <row r="115" spans="3:3" x14ac:dyDescent="0.25">
      <c r="C115" t="str">
        <f>IF($A115&lt;&gt;"", _xlfn.IFNA(VLOOKUP(RIGHT(LEFT($A115,4),3),'District LookUp Table'!$A$2:$B$19,2,FALSE), "NOT FOUND"), "")</f>
        <v/>
      </c>
    </row>
    <row r="116" spans="3:3" x14ac:dyDescent="0.25">
      <c r="C116" t="str">
        <f>IF($A116&lt;&gt;"", _xlfn.IFNA(VLOOKUP(RIGHT(LEFT($A116,4),3),'District LookUp Table'!$A$2:$B$19,2,FALSE), "NOT FOUND"), "")</f>
        <v/>
      </c>
    </row>
    <row r="117" spans="3:3" x14ac:dyDescent="0.25">
      <c r="C117" t="str">
        <f>IF($A117&lt;&gt;"", _xlfn.IFNA(VLOOKUP(RIGHT(LEFT($A117,4),3),'District LookUp Table'!$A$2:$B$19,2,FALSE), "NOT FOUND"), "")</f>
        <v/>
      </c>
    </row>
    <row r="118" spans="3:3" x14ac:dyDescent="0.25">
      <c r="C118" t="str">
        <f>IF($A118&lt;&gt;"", _xlfn.IFNA(VLOOKUP(RIGHT(LEFT($A118,4),3),'District LookUp Table'!$A$2:$B$19,2,FALSE), "NOT FOUND"), "")</f>
        <v/>
      </c>
    </row>
    <row r="119" spans="3:3" x14ac:dyDescent="0.25">
      <c r="C119" t="str">
        <f>IF($A119&lt;&gt;"", _xlfn.IFNA(VLOOKUP(RIGHT(LEFT($A119,4),3),'District LookUp Table'!$A$2:$B$19,2,FALSE), "NOT FOUND"), "")</f>
        <v/>
      </c>
    </row>
    <row r="120" spans="3:3" x14ac:dyDescent="0.25">
      <c r="C120" t="str">
        <f>IF($A120&lt;&gt;"", _xlfn.IFNA(VLOOKUP(RIGHT(LEFT($A120,4),3),'District LookUp Table'!$A$2:$B$19,2,FALSE), "NOT FOUND"), "")</f>
        <v/>
      </c>
    </row>
  </sheetData>
  <sortState xmlns:xlrd2="http://schemas.microsoft.com/office/spreadsheetml/2017/richdata2" ref="A2:K101">
    <sortCondition ref="A2:A101"/>
  </sortState>
  <phoneticPr fontId="2" type="noConversion"/>
  <conditionalFormatting sqref="A1:A1048576">
    <cfRule type="duplicateValues" dxfId="3" priority="2"/>
  </conditionalFormatting>
  <conditionalFormatting sqref="C1:C1048576">
    <cfRule type="cellIs" dxfId="2" priority="1" operator="equal">
      <formula>"""NOT FOUND"""</formula>
    </cfRule>
  </conditionalFormatting>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819E26B2-F3C9-854D-A0B9-24DB6E09716D}">
          <x14:formula1>
            <xm:f>Tags!$A$2:$A$10</xm:f>
          </x14:formula1>
          <xm:sqref>E2:E55</xm:sqref>
        </x14:dataValidation>
        <x14:dataValidation type="list" allowBlank="1" showInputMessage="1" showErrorMessage="1" xr:uid="{31DBD6AC-6924-3447-AE24-1562DA06A63B}">
          <x14:formula1>
            <xm:f>Tags!$E$2:$E$5</xm:f>
          </x14:formula1>
          <xm:sqref>K2:K4</xm:sqref>
        </x14:dataValidation>
        <x14:dataValidation type="list" allowBlank="1" showInputMessage="1" showErrorMessage="1" xr:uid="{49DFAE57-EAC6-974F-A760-2F5C8E8327BC}">
          <x14:formula1>
            <xm:f>Tags!$A:$A-Tags!$A$1</xm:f>
          </x14:formula1>
          <xm:sqref>E56:E1048576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1DCB9-6907-D741-96BC-AD60469A8BFE}">
  <dimension ref="A1:K50"/>
  <sheetViews>
    <sheetView zoomScale="130" zoomScaleNormal="130" workbookViewId="0">
      <selection activeCell="C9" sqref="C9"/>
    </sheetView>
  </sheetViews>
  <sheetFormatPr defaultColWidth="11" defaultRowHeight="15.75" x14ac:dyDescent="0.25"/>
  <cols>
    <col min="2" max="2" width="27.875" customWidth="1"/>
    <col min="3" max="3" width="16" bestFit="1" customWidth="1"/>
    <col min="5" max="5" width="17.375" bestFit="1" customWidth="1"/>
    <col min="7" max="7" width="28.625" bestFit="1" customWidth="1"/>
    <col min="9" max="9" width="12" bestFit="1" customWidth="1"/>
    <col min="11" max="11" width="16.875" bestFit="1" customWidth="1"/>
  </cols>
  <sheetData>
    <row r="1" spans="1:11" x14ac:dyDescent="0.25">
      <c r="A1" t="s">
        <v>0</v>
      </c>
      <c r="B1" t="s">
        <v>7</v>
      </c>
      <c r="C1" t="s">
        <v>1</v>
      </c>
      <c r="D1" t="s">
        <v>2</v>
      </c>
      <c r="E1" t="s">
        <v>117</v>
      </c>
      <c r="F1" t="s">
        <v>112</v>
      </c>
      <c r="G1" t="s">
        <v>114</v>
      </c>
      <c r="H1" t="s">
        <v>4</v>
      </c>
      <c r="I1" t="s">
        <v>115</v>
      </c>
      <c r="J1" t="s">
        <v>5</v>
      </c>
      <c r="K1" t="s">
        <v>6</v>
      </c>
    </row>
    <row r="2" spans="1:11" x14ac:dyDescent="0.25">
      <c r="A2" t="s">
        <v>110</v>
      </c>
      <c r="B2" t="s">
        <v>111</v>
      </c>
      <c r="C2" t="str">
        <f>IF(A2&lt;&gt;"", _xlfn.IFNA(VLOOKUP(RIGHT(LEFT(A2,4),3),'District LookUp Table'!$A$2:$B$19,2,FALSE), "NOT FOUND"), "")</f>
        <v>Yuen Long</v>
      </c>
      <c r="E2" t="s">
        <v>118</v>
      </c>
      <c r="F2" t="s">
        <v>134</v>
      </c>
      <c r="G2" t="s">
        <v>116</v>
      </c>
      <c r="H2" t="s">
        <v>121</v>
      </c>
      <c r="I2" t="s">
        <v>120</v>
      </c>
      <c r="K2" t="s">
        <v>119</v>
      </c>
    </row>
    <row r="3" spans="1:11" x14ac:dyDescent="0.25">
      <c r="A3" t="s">
        <v>122</v>
      </c>
      <c r="B3" t="s">
        <v>123</v>
      </c>
      <c r="C3" t="str">
        <f>IF(A3&lt;&gt;"", _xlfn.IFNA(VLOOKUP(RIGHT(LEFT(A3,4),3),'District LookUp Table'!$A$2:$B$19,2,FALSE), "NOT FOUND"), "")</f>
        <v>Yuen Long</v>
      </c>
      <c r="E3" t="s">
        <v>143</v>
      </c>
      <c r="F3" t="s">
        <v>113</v>
      </c>
      <c r="G3" t="s">
        <v>124</v>
      </c>
      <c r="H3" t="s">
        <v>121</v>
      </c>
      <c r="I3" t="s">
        <v>125</v>
      </c>
      <c r="K3" t="s">
        <v>83</v>
      </c>
    </row>
    <row r="4" spans="1:11" x14ac:dyDescent="0.25">
      <c r="A4" t="s">
        <v>126</v>
      </c>
      <c r="B4" t="s">
        <v>139</v>
      </c>
      <c r="C4" t="str">
        <f>IF(A4&lt;&gt;"", _xlfn.IFNA(VLOOKUP(RIGHT(LEFT(A4,4),3),'District LookUp Table'!$A$2:$B$19,2,FALSE), "NOT FOUND"), "")</f>
        <v>Yuen Long</v>
      </c>
      <c r="E4" t="s">
        <v>143</v>
      </c>
      <c r="F4" t="s">
        <v>113</v>
      </c>
      <c r="G4" t="s">
        <v>140</v>
      </c>
      <c r="H4" t="s">
        <v>121</v>
      </c>
      <c r="I4" t="s">
        <v>141</v>
      </c>
      <c r="K4" t="s">
        <v>83</v>
      </c>
    </row>
    <row r="5" spans="1:11" x14ac:dyDescent="0.25">
      <c r="A5" t="s">
        <v>127</v>
      </c>
      <c r="B5" t="s">
        <v>128</v>
      </c>
      <c r="C5" t="str">
        <f>IF(A5&lt;&gt;"", _xlfn.IFNA(VLOOKUP(RIGHT(LEFT(A5,4),3),'District LookUp Table'!$A$2:$B$19,2,FALSE), "NOT FOUND"), "")</f>
        <v>Tuen Mun</v>
      </c>
      <c r="E5" t="s">
        <v>143</v>
      </c>
      <c r="F5" t="s">
        <v>113</v>
      </c>
      <c r="G5" t="s">
        <v>129</v>
      </c>
      <c r="H5" t="s">
        <v>121</v>
      </c>
      <c r="I5" t="s">
        <v>130</v>
      </c>
      <c r="K5" t="s">
        <v>83</v>
      </c>
    </row>
    <row r="6" spans="1:11" x14ac:dyDescent="0.25">
      <c r="A6" t="s">
        <v>131</v>
      </c>
      <c r="B6" t="s">
        <v>132</v>
      </c>
      <c r="C6" t="str">
        <f>IF(A6&lt;&gt;"", _xlfn.IFNA(VLOOKUP(RIGHT(LEFT(A6,4),3),'District LookUp Table'!$A$2:$B$19,2,FALSE), "NOT FOUND"), "")</f>
        <v>Tuen Mun</v>
      </c>
      <c r="E6" t="s">
        <v>133</v>
      </c>
      <c r="F6" t="s">
        <v>134</v>
      </c>
      <c r="G6" t="s">
        <v>135</v>
      </c>
      <c r="H6" t="s">
        <v>136</v>
      </c>
      <c r="I6" t="s">
        <v>137</v>
      </c>
      <c r="K6" t="s">
        <v>83</v>
      </c>
    </row>
    <row r="7" spans="1:11" ht="31.5" x14ac:dyDescent="0.25">
      <c r="A7" t="s">
        <v>138</v>
      </c>
      <c r="B7" s="2" t="s">
        <v>142</v>
      </c>
      <c r="C7" t="str">
        <f>IF(A7&lt;&gt;"", _xlfn.IFNA(VLOOKUP(RIGHT(LEFT(A7,4),3),'District LookUp Table'!$A$2:$B$19,2,FALSE), "NOT FOUND"), "")</f>
        <v>Tuen Mun</v>
      </c>
      <c r="E7" t="s">
        <v>143</v>
      </c>
      <c r="F7" t="s">
        <v>144</v>
      </c>
      <c r="G7" t="s">
        <v>145</v>
      </c>
      <c r="H7" t="s">
        <v>146</v>
      </c>
      <c r="I7" t="s">
        <v>147</v>
      </c>
      <c r="K7" t="s">
        <v>119</v>
      </c>
    </row>
    <row r="8" spans="1:11" x14ac:dyDescent="0.25">
      <c r="A8" t="s">
        <v>451</v>
      </c>
      <c r="B8" t="s">
        <v>452</v>
      </c>
      <c r="C8" t="str">
        <f>IF(A8&lt;&gt;"", _xlfn.IFNA(VLOOKUP(RIGHT(LEFT(A8,4),3),'District LookUp Table'!$A$2:$B$19,2,FALSE), "NOT FOUND"), "")</f>
        <v>Sham Shui Po</v>
      </c>
    </row>
    <row r="9" spans="1:11" x14ac:dyDescent="0.25">
      <c r="C9" t="str">
        <f>IF(A9&lt;&gt;"", _xlfn.IFNA(VLOOKUP(RIGHT(LEFT(A9,4),3),'District LookUp Table'!$A$2:$B$19,2,FALSE), "NOT FOUND"), "")</f>
        <v/>
      </c>
    </row>
    <row r="10" spans="1:11" x14ac:dyDescent="0.25">
      <c r="C10" t="str">
        <f>IF(A10&lt;&gt;"", _xlfn.IFNA(VLOOKUP(RIGHT(LEFT(A10,4),3),'District LookUp Table'!$A$2:$B$19,2,FALSE), "NOT FOUND"), "")</f>
        <v/>
      </c>
    </row>
    <row r="11" spans="1:11" x14ac:dyDescent="0.25">
      <c r="C11" t="str">
        <f>IF(A11&lt;&gt;"", _xlfn.IFNA(VLOOKUP(RIGHT(LEFT(A11,4),3),'District LookUp Table'!$A$2:$B$19,2,FALSE), "NOT FOUND"), "")</f>
        <v/>
      </c>
    </row>
    <row r="12" spans="1:11" x14ac:dyDescent="0.25">
      <c r="C12" t="str">
        <f>IF(A12&lt;&gt;"", _xlfn.IFNA(VLOOKUP(RIGHT(LEFT(A12,4),3),'District LookUp Table'!$A$2:$B$19,2,FALSE), "NOT FOUND"), "")</f>
        <v/>
      </c>
    </row>
    <row r="13" spans="1:11" x14ac:dyDescent="0.25">
      <c r="C13" t="str">
        <f>IF(A13&lt;&gt;"", _xlfn.IFNA(VLOOKUP(RIGHT(LEFT(A13,4),3),'District LookUp Table'!$A$2:$B$19,2,FALSE), "NOT FOUND"), "")</f>
        <v/>
      </c>
    </row>
    <row r="14" spans="1:11" x14ac:dyDescent="0.25">
      <c r="C14" t="str">
        <f>IF(A14&lt;&gt;"", _xlfn.IFNA(VLOOKUP(RIGHT(LEFT(A14,4),3),'District LookUp Table'!$A$2:$B$19,2,FALSE), "NOT FOUND"), "")</f>
        <v/>
      </c>
    </row>
    <row r="15" spans="1:11" x14ac:dyDescent="0.25">
      <c r="C15" t="str">
        <f>IF(A15&lt;&gt;"", _xlfn.IFNA(VLOOKUP(RIGHT(LEFT(A15,4),3),'District LookUp Table'!$A$2:$B$19,2,FALSE), "NOT FOUND"), "")</f>
        <v/>
      </c>
    </row>
    <row r="16" spans="1:11" x14ac:dyDescent="0.25">
      <c r="C16" t="str">
        <f>IF(A16&lt;&gt;"", _xlfn.IFNA(VLOOKUP(RIGHT(LEFT(A16,4),3),'District LookUp Table'!$A$2:$B$19,2,FALSE), "NOT FOUND"), "")</f>
        <v/>
      </c>
    </row>
    <row r="17" spans="3:3" x14ac:dyDescent="0.25">
      <c r="C17" t="str">
        <f>IF(A17&lt;&gt;"", _xlfn.IFNA(VLOOKUP(RIGHT(LEFT(A17,4),3),'District LookUp Table'!$A$2:$B$19,2,FALSE), "NOT FOUND"), "")</f>
        <v/>
      </c>
    </row>
    <row r="18" spans="3:3" x14ac:dyDescent="0.25">
      <c r="C18" t="str">
        <f>IF(A18&lt;&gt;"", _xlfn.IFNA(VLOOKUP(RIGHT(LEFT(A18,4),3),'District LookUp Table'!$A$2:$B$19,2,FALSE), "NOT FOUND"), "")</f>
        <v/>
      </c>
    </row>
    <row r="19" spans="3:3" x14ac:dyDescent="0.25">
      <c r="C19" t="str">
        <f>IF(A19&lt;&gt;"", _xlfn.IFNA(VLOOKUP(RIGHT(LEFT(A19,4),3),'District LookUp Table'!$A$2:$B$19,2,FALSE), "NOT FOUND"), "")</f>
        <v/>
      </c>
    </row>
    <row r="20" spans="3:3" x14ac:dyDescent="0.25">
      <c r="C20" t="str">
        <f>IF(A20&lt;&gt;"", _xlfn.IFNA(VLOOKUP(RIGHT(LEFT(A20,4),3),'District LookUp Table'!$A$2:$B$19,2,FALSE), "NOT FOUND"), "")</f>
        <v/>
      </c>
    </row>
    <row r="21" spans="3:3" x14ac:dyDescent="0.25">
      <c r="C21" t="str">
        <f>IF(A21&lt;&gt;"", _xlfn.IFNA(VLOOKUP(RIGHT(LEFT(A21,4),3),'District LookUp Table'!$A$2:$B$19,2,FALSE), "NOT FOUND"), "")</f>
        <v/>
      </c>
    </row>
    <row r="22" spans="3:3" x14ac:dyDescent="0.25">
      <c r="C22" t="str">
        <f>IF(A22&lt;&gt;"", _xlfn.IFNA(VLOOKUP(RIGHT(LEFT(A22,4),3),'District LookUp Table'!$A$2:$B$19,2,FALSE), "NOT FOUND"), "")</f>
        <v/>
      </c>
    </row>
    <row r="23" spans="3:3" x14ac:dyDescent="0.25">
      <c r="C23" t="str">
        <f>IF(A23&lt;&gt;"", _xlfn.IFNA(VLOOKUP(RIGHT(LEFT(A23,4),3),'District LookUp Table'!$A$2:$B$19,2,FALSE), "NOT FOUND"), "")</f>
        <v/>
      </c>
    </row>
    <row r="24" spans="3:3" x14ac:dyDescent="0.25">
      <c r="C24" t="str">
        <f>IF(A24&lt;&gt;"", _xlfn.IFNA(VLOOKUP(RIGHT(LEFT(A24,4),3),'District LookUp Table'!$A$2:$B$19,2,FALSE), "NOT FOUND"), "")</f>
        <v/>
      </c>
    </row>
    <row r="25" spans="3:3" x14ac:dyDescent="0.25">
      <c r="C25" t="str">
        <f>IF(A25&lt;&gt;"", _xlfn.IFNA(VLOOKUP(RIGHT(LEFT(A25,4),3),'District LookUp Table'!$A$2:$B$19,2,FALSE), "NOT FOUND"), "")</f>
        <v/>
      </c>
    </row>
    <row r="26" spans="3:3" x14ac:dyDescent="0.25">
      <c r="C26" t="str">
        <f>IF(A26&lt;&gt;"", _xlfn.IFNA(VLOOKUP(RIGHT(LEFT(A26,4),3),'District LookUp Table'!$A$2:$B$19,2,FALSE), "NOT FOUND"), "")</f>
        <v/>
      </c>
    </row>
    <row r="27" spans="3:3" x14ac:dyDescent="0.25">
      <c r="C27" t="str">
        <f>IF(A27&lt;&gt;"", _xlfn.IFNA(VLOOKUP(RIGHT(LEFT(A27,4),3),'District LookUp Table'!$A$2:$B$19,2,FALSE), "NOT FOUND"), "")</f>
        <v/>
      </c>
    </row>
    <row r="28" spans="3:3" x14ac:dyDescent="0.25">
      <c r="C28" t="str">
        <f>IF(A28&lt;&gt;"", _xlfn.IFNA(VLOOKUP(RIGHT(LEFT(A28,4),3),'District LookUp Table'!$A$2:$B$19,2,FALSE), "NOT FOUND"), "")</f>
        <v/>
      </c>
    </row>
    <row r="29" spans="3:3" x14ac:dyDescent="0.25">
      <c r="C29" t="str">
        <f>IF(A29&lt;&gt;"", _xlfn.IFNA(VLOOKUP(RIGHT(LEFT(A29,4),3),'District LookUp Table'!$A$2:$B$19,2,FALSE), "NOT FOUND"), "")</f>
        <v/>
      </c>
    </row>
    <row r="30" spans="3:3" x14ac:dyDescent="0.25">
      <c r="C30" t="str">
        <f>IF(A30&lt;&gt;"", _xlfn.IFNA(VLOOKUP(RIGHT(LEFT(A30,4),3),'District LookUp Table'!$A$2:$B$19,2,FALSE), "NOT FOUND"), "")</f>
        <v/>
      </c>
    </row>
    <row r="31" spans="3:3" x14ac:dyDescent="0.25">
      <c r="C31" t="str">
        <f>IF(A31&lt;&gt;"", _xlfn.IFNA(VLOOKUP(RIGHT(LEFT(A31,4),3),'District LookUp Table'!$A$2:$B$19,2,FALSE), "NOT FOUND"), "")</f>
        <v/>
      </c>
    </row>
    <row r="32" spans="3:3" x14ac:dyDescent="0.25">
      <c r="C32" t="str">
        <f>IF(A32&lt;&gt;"", _xlfn.IFNA(VLOOKUP(RIGHT(LEFT(A32,4),3),'District LookUp Table'!$A$2:$B$19,2,FALSE), "NOT FOUND"), "")</f>
        <v/>
      </c>
    </row>
    <row r="33" spans="3:3" x14ac:dyDescent="0.25">
      <c r="C33" t="str">
        <f>IF(A33&lt;&gt;"", _xlfn.IFNA(VLOOKUP(RIGHT(LEFT(A33,4),3),'District LookUp Table'!$A$2:$B$19,2,FALSE), "NOT FOUND"), "")</f>
        <v/>
      </c>
    </row>
    <row r="34" spans="3:3" x14ac:dyDescent="0.25">
      <c r="C34" t="str">
        <f>IF(A34&lt;&gt;"", _xlfn.IFNA(VLOOKUP(RIGHT(LEFT(A34,4),3),'District LookUp Table'!$A$2:$B$19,2,FALSE), "NOT FOUND"), "")</f>
        <v/>
      </c>
    </row>
    <row r="35" spans="3:3" x14ac:dyDescent="0.25">
      <c r="C35" t="str">
        <f>IF(A35&lt;&gt;"", _xlfn.IFNA(VLOOKUP(RIGHT(LEFT(A35,4),3),'District LookUp Table'!$A$2:$B$19,2,FALSE), "NOT FOUND"), "")</f>
        <v/>
      </c>
    </row>
    <row r="36" spans="3:3" x14ac:dyDescent="0.25">
      <c r="C36" t="str">
        <f>IF(A36&lt;&gt;"", _xlfn.IFNA(VLOOKUP(RIGHT(LEFT(A36,4),3),'District LookUp Table'!$A$2:$B$19,2,FALSE), "NOT FOUND"), "")</f>
        <v/>
      </c>
    </row>
    <row r="37" spans="3:3" x14ac:dyDescent="0.25">
      <c r="C37" t="str">
        <f>IF(A37&lt;&gt;"", _xlfn.IFNA(VLOOKUP(RIGHT(LEFT(A37,4),3),'District LookUp Table'!$A$2:$B$19,2,FALSE), "NOT FOUND"), "")</f>
        <v/>
      </c>
    </row>
    <row r="38" spans="3:3" x14ac:dyDescent="0.25">
      <c r="C38" t="str">
        <f>IF(A38&lt;&gt;"", _xlfn.IFNA(VLOOKUP(RIGHT(LEFT(A38,4),3),'District LookUp Table'!$A$2:$B$19,2,FALSE), "NOT FOUND"), "")</f>
        <v/>
      </c>
    </row>
    <row r="39" spans="3:3" x14ac:dyDescent="0.25">
      <c r="C39" t="str">
        <f>IF(A39&lt;&gt;"", _xlfn.IFNA(VLOOKUP(RIGHT(LEFT(A39,4),3),'District LookUp Table'!$A$2:$B$19,2,FALSE), "NOT FOUND"), "")</f>
        <v/>
      </c>
    </row>
    <row r="40" spans="3:3" x14ac:dyDescent="0.25">
      <c r="C40" t="str">
        <f>IF(A40&lt;&gt;"", _xlfn.IFNA(VLOOKUP(RIGHT(LEFT(A40,4),3),'District LookUp Table'!$A$2:$B$19,2,FALSE), "NOT FOUND"), "")</f>
        <v/>
      </c>
    </row>
    <row r="41" spans="3:3" x14ac:dyDescent="0.25">
      <c r="C41" t="str">
        <f>IF(A41&lt;&gt;"", _xlfn.IFNA(VLOOKUP(RIGHT(LEFT(A41,4),3),'District LookUp Table'!$A$2:$B$19,2,FALSE), "NOT FOUND"), "")</f>
        <v/>
      </c>
    </row>
    <row r="42" spans="3:3" x14ac:dyDescent="0.25">
      <c r="C42" t="str">
        <f>IF(A42&lt;&gt;"", _xlfn.IFNA(VLOOKUP(RIGHT(LEFT(A42,4),3),'District LookUp Table'!$A$2:$B$19,2,FALSE), "NOT FOUND"), "")</f>
        <v/>
      </c>
    </row>
    <row r="43" spans="3:3" x14ac:dyDescent="0.25">
      <c r="C43" t="str">
        <f>IF(A43&lt;&gt;"", _xlfn.IFNA(VLOOKUP(RIGHT(LEFT(A43,4),3),'District LookUp Table'!$A$2:$B$19,2,FALSE), "NOT FOUND"), "")</f>
        <v/>
      </c>
    </row>
    <row r="44" spans="3:3" x14ac:dyDescent="0.25">
      <c r="C44" t="str">
        <f>IF(A44&lt;&gt;"", _xlfn.IFNA(VLOOKUP(RIGHT(LEFT(A44,4),3),'District LookUp Table'!$A$2:$B$19,2,FALSE), "NOT FOUND"), "")</f>
        <v/>
      </c>
    </row>
    <row r="45" spans="3:3" x14ac:dyDescent="0.25">
      <c r="C45" t="str">
        <f>IF(A45&lt;&gt;"", _xlfn.IFNA(VLOOKUP(RIGHT(LEFT(A45,4),3),'District LookUp Table'!$A$2:$B$19,2,FALSE), "NOT FOUND"), "")</f>
        <v/>
      </c>
    </row>
    <row r="46" spans="3:3" x14ac:dyDescent="0.25">
      <c r="C46" t="str">
        <f>IF(A46&lt;&gt;"", _xlfn.IFNA(VLOOKUP(RIGHT(LEFT(A46,4),3),'District LookUp Table'!$A$2:$B$19,2,FALSE), "NOT FOUND"), "")</f>
        <v/>
      </c>
    </row>
    <row r="47" spans="3:3" x14ac:dyDescent="0.25">
      <c r="C47" t="str">
        <f>IF(A47&lt;&gt;"", _xlfn.IFNA(VLOOKUP(RIGHT(LEFT(A47,4),3),'District LookUp Table'!$A$2:$B$19,2,FALSE), "NOT FOUND"), "")</f>
        <v/>
      </c>
    </row>
    <row r="48" spans="3:3" x14ac:dyDescent="0.25">
      <c r="C48" t="str">
        <f>IF(A48&lt;&gt;"", _xlfn.IFNA(VLOOKUP(RIGHT(LEFT(A48,4),3),'District LookUp Table'!$A$2:$B$19,2,FALSE), "NOT FOUND"), "")</f>
        <v/>
      </c>
    </row>
    <row r="49" spans="3:3" x14ac:dyDescent="0.25">
      <c r="C49" t="str">
        <f>IF(A49&lt;&gt;"", _xlfn.IFNA(VLOOKUP(RIGHT(LEFT(A49,4),3),'District LookUp Table'!$A$2:$B$19,2,FALSE), "NOT FOUND"), "")</f>
        <v/>
      </c>
    </row>
    <row r="50" spans="3:3" x14ac:dyDescent="0.25">
      <c r="C50" t="str">
        <f>IF(A50&lt;&gt;"", _xlfn.IFNA(VLOOKUP(RIGHT(LEFT(A50,4),3),'District LookUp Table'!$A$2:$B$19,2,FALSE), "NOT FOUND"), "")</f>
        <v/>
      </c>
    </row>
  </sheetData>
  <conditionalFormatting sqref="A1">
    <cfRule type="duplicateValues" dxfId="1" priority="2"/>
  </conditionalFormatting>
  <conditionalFormatting sqref="C1:C1048576">
    <cfRule type="cellIs" dxfId="0" priority="1" operator="equal">
      <formula>"""NOT FOUND"""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ED754-AC12-BD44-80EC-D17D8DEA7029}">
  <dimension ref="A1:B19"/>
  <sheetViews>
    <sheetView workbookViewId="0">
      <selection activeCell="B7" sqref="B7"/>
    </sheetView>
  </sheetViews>
  <sheetFormatPr defaultColWidth="11" defaultRowHeight="15.75" x14ac:dyDescent="0.25"/>
  <cols>
    <col min="2" max="2" width="22.875" bestFit="1" customWidth="1"/>
  </cols>
  <sheetData>
    <row r="1" spans="1:2" x14ac:dyDescent="0.25">
      <c r="A1" t="s">
        <v>0</v>
      </c>
      <c r="B1" t="s">
        <v>1</v>
      </c>
    </row>
    <row r="2" spans="1:2" x14ac:dyDescent="0.25">
      <c r="A2" t="s">
        <v>14</v>
      </c>
      <c r="B2" t="s">
        <v>9</v>
      </c>
    </row>
    <row r="3" spans="1:2" x14ac:dyDescent="0.25">
      <c r="A3" t="s">
        <v>15</v>
      </c>
      <c r="B3" t="s">
        <v>8</v>
      </c>
    </row>
    <row r="4" spans="1:2" x14ac:dyDescent="0.25">
      <c r="A4" t="s">
        <v>16</v>
      </c>
      <c r="B4" t="s">
        <v>10</v>
      </c>
    </row>
    <row r="5" spans="1:2" x14ac:dyDescent="0.25">
      <c r="A5" t="s">
        <v>17</v>
      </c>
      <c r="B5" t="s">
        <v>11</v>
      </c>
    </row>
    <row r="6" spans="1:2" x14ac:dyDescent="0.25">
      <c r="A6" t="s">
        <v>18</v>
      </c>
      <c r="B6" t="s">
        <v>12</v>
      </c>
    </row>
    <row r="7" spans="1:2" x14ac:dyDescent="0.25">
      <c r="A7" t="s">
        <v>21</v>
      </c>
      <c r="B7" t="s">
        <v>13</v>
      </c>
    </row>
    <row r="8" spans="1:2" x14ac:dyDescent="0.25">
      <c r="A8" t="s">
        <v>20</v>
      </c>
      <c r="B8" t="s">
        <v>19</v>
      </c>
    </row>
    <row r="9" spans="1:2" x14ac:dyDescent="0.25">
      <c r="A9" t="s">
        <v>23</v>
      </c>
      <c r="B9" t="s">
        <v>22</v>
      </c>
    </row>
    <row r="10" spans="1:2" x14ac:dyDescent="0.25">
      <c r="A10" t="s">
        <v>25</v>
      </c>
      <c r="B10" t="s">
        <v>24</v>
      </c>
    </row>
    <row r="11" spans="1:2" x14ac:dyDescent="0.25">
      <c r="A11" t="s">
        <v>27</v>
      </c>
      <c r="B11" t="s">
        <v>26</v>
      </c>
    </row>
    <row r="12" spans="1:2" x14ac:dyDescent="0.25">
      <c r="A12" t="s">
        <v>29</v>
      </c>
      <c r="B12" t="s">
        <v>28</v>
      </c>
    </row>
    <row r="13" spans="1:2" x14ac:dyDescent="0.25">
      <c r="A13" t="s">
        <v>31</v>
      </c>
      <c r="B13" t="s">
        <v>30</v>
      </c>
    </row>
    <row r="14" spans="1:2" x14ac:dyDescent="0.25">
      <c r="A14" t="s">
        <v>33</v>
      </c>
      <c r="B14" t="s">
        <v>32</v>
      </c>
    </row>
    <row r="15" spans="1:2" x14ac:dyDescent="0.25">
      <c r="A15" t="s">
        <v>35</v>
      </c>
      <c r="B15" t="s">
        <v>34</v>
      </c>
    </row>
    <row r="16" spans="1:2" x14ac:dyDescent="0.25">
      <c r="A16" t="s">
        <v>37</v>
      </c>
      <c r="B16" t="s">
        <v>36</v>
      </c>
    </row>
    <row r="17" spans="1:2" x14ac:dyDescent="0.25">
      <c r="A17" t="s">
        <v>207</v>
      </c>
      <c r="B17" t="s">
        <v>208</v>
      </c>
    </row>
    <row r="18" spans="1:2" x14ac:dyDescent="0.25">
      <c r="A18" t="s">
        <v>39</v>
      </c>
      <c r="B18" t="s">
        <v>38</v>
      </c>
    </row>
    <row r="19" spans="1:2" x14ac:dyDescent="0.25">
      <c r="A19" t="s">
        <v>41</v>
      </c>
      <c r="B19" t="s">
        <v>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276EE-1648-024A-B5FF-0F186E065FBF}">
  <dimension ref="A1:E10"/>
  <sheetViews>
    <sheetView workbookViewId="0">
      <selection activeCell="A4" sqref="A4"/>
    </sheetView>
  </sheetViews>
  <sheetFormatPr defaultColWidth="11" defaultRowHeight="15.75" x14ac:dyDescent="0.25"/>
  <cols>
    <col min="1" max="1" width="19.625" bestFit="1" customWidth="1"/>
    <col min="2" max="2" width="14" bestFit="1" customWidth="1"/>
    <col min="3" max="3" width="16.625" bestFit="1" customWidth="1"/>
    <col min="4" max="4" width="15.875" bestFit="1" customWidth="1"/>
  </cols>
  <sheetData>
    <row r="1" spans="1:5" x14ac:dyDescent="0.25">
      <c r="A1" t="s">
        <v>46</v>
      </c>
      <c r="B1" t="s">
        <v>52</v>
      </c>
      <c r="C1" t="s">
        <v>294</v>
      </c>
      <c r="D1" t="s">
        <v>295</v>
      </c>
      <c r="E1" t="s">
        <v>63</v>
      </c>
    </row>
    <row r="2" spans="1:5" x14ac:dyDescent="0.25">
      <c r="A2" t="s">
        <v>47</v>
      </c>
      <c r="B2" t="s">
        <v>53</v>
      </c>
      <c r="C2" t="s">
        <v>297</v>
      </c>
      <c r="D2" t="s">
        <v>62</v>
      </c>
      <c r="E2" t="s">
        <v>64</v>
      </c>
    </row>
    <row r="3" spans="1:5" x14ac:dyDescent="0.25">
      <c r="A3" t="s">
        <v>48</v>
      </c>
      <c r="B3" t="s">
        <v>54</v>
      </c>
      <c r="C3" t="s">
        <v>298</v>
      </c>
      <c r="D3" t="s">
        <v>109</v>
      </c>
      <c r="E3" t="s">
        <v>65</v>
      </c>
    </row>
    <row r="4" spans="1:5" x14ac:dyDescent="0.25">
      <c r="A4" t="s">
        <v>49</v>
      </c>
      <c r="B4" t="s">
        <v>55</v>
      </c>
      <c r="C4" t="s">
        <v>63</v>
      </c>
      <c r="D4" t="s">
        <v>300</v>
      </c>
      <c r="E4" t="s">
        <v>66</v>
      </c>
    </row>
    <row r="5" spans="1:5" x14ac:dyDescent="0.25">
      <c r="A5" t="s">
        <v>50</v>
      </c>
      <c r="B5" t="s">
        <v>56</v>
      </c>
      <c r="C5" t="s">
        <v>64</v>
      </c>
      <c r="D5" t="s">
        <v>301</v>
      </c>
      <c r="E5" t="s">
        <v>67</v>
      </c>
    </row>
    <row r="6" spans="1:5" x14ac:dyDescent="0.25">
      <c r="A6" t="s">
        <v>51</v>
      </c>
      <c r="B6" t="s">
        <v>57</v>
      </c>
      <c r="C6" t="s">
        <v>299</v>
      </c>
      <c r="D6" t="s">
        <v>302</v>
      </c>
    </row>
    <row r="7" spans="1:5" x14ac:dyDescent="0.25">
      <c r="A7" t="s">
        <v>290</v>
      </c>
      <c r="B7" t="s">
        <v>58</v>
      </c>
      <c r="C7" t="s">
        <v>367</v>
      </c>
      <c r="D7" t="s">
        <v>303</v>
      </c>
    </row>
    <row r="8" spans="1:5" x14ac:dyDescent="0.25">
      <c r="A8" t="s">
        <v>296</v>
      </c>
      <c r="B8" t="s">
        <v>59</v>
      </c>
    </row>
    <row r="9" spans="1:5" x14ac:dyDescent="0.25">
      <c r="B9" t="s">
        <v>60</v>
      </c>
    </row>
    <row r="10" spans="1:5" x14ac:dyDescent="0.25">
      <c r="B10"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Attractions</vt:lpstr>
      <vt:lpstr>Restaurants</vt:lpstr>
      <vt:lpstr>District LookUp Table</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kc072015@connect.hku.hk</dc:creator>
  <cp:lastModifiedBy>kc072015@connect.hku.hk</cp:lastModifiedBy>
  <dcterms:created xsi:type="dcterms:W3CDTF">2025-12-18T09:01:34Z</dcterms:created>
  <dcterms:modified xsi:type="dcterms:W3CDTF">2026-03-23T15:54:07Z</dcterms:modified>
</cp:coreProperties>
</file>