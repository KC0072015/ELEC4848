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donno/Local Storage/FYP/ELEC4848/backend/data/"/>
    </mc:Choice>
  </mc:AlternateContent>
  <xr:revisionPtr revIDLastSave="0" documentId="13_ncr:1_{B55402D8-D972-2D47-8698-2DFAD7400CF0}" xr6:coauthVersionLast="47" xr6:coauthVersionMax="47" xr10:uidLastSave="{00000000-0000-0000-0000-000000000000}"/>
  <bookViews>
    <workbookView xWindow="160" yWindow="660" windowWidth="16560" windowHeight="18580" xr2:uid="{9EFF6F0D-C710-EF47-A58A-AC8F2FE2F277}"/>
  </bookViews>
  <sheets>
    <sheet name="Attractions" sheetId="1" r:id="rId1"/>
    <sheet name="Restaurants" sheetId="2" r:id="rId2"/>
    <sheet name="District LookUp Table" sheetId="3" r:id="rId3"/>
    <sheet name="Tag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alcChain>
</file>

<file path=xl/sharedStrings.xml><?xml version="1.0" encoding="utf-8"?>
<sst xmlns="http://schemas.openxmlformats.org/spreadsheetml/2006/main" count="553" uniqueCount="437">
  <si>
    <t>id</t>
  </si>
  <si>
    <t>district</t>
  </si>
  <si>
    <t>coordinates</t>
  </si>
  <si>
    <t>category</t>
  </si>
  <si>
    <t>price_level</t>
  </si>
  <si>
    <t>description</t>
  </si>
  <si>
    <t>transport</t>
  </si>
  <si>
    <t>name</t>
  </si>
  <si>
    <t>Eastern</t>
  </si>
  <si>
    <t>Central &amp; Western</t>
  </si>
  <si>
    <t>Islands</t>
  </si>
  <si>
    <t>Kowloon City</t>
  </si>
  <si>
    <t>Kwun Tong</t>
  </si>
  <si>
    <t>Kwai Tsing</t>
  </si>
  <si>
    <t>cwd</t>
  </si>
  <si>
    <t>ead</t>
  </si>
  <si>
    <t>isd</t>
  </si>
  <si>
    <t>kcd</t>
  </si>
  <si>
    <t>ktd</t>
  </si>
  <si>
    <t>North</t>
  </si>
  <si>
    <t>nod</t>
  </si>
  <si>
    <t>kwd</t>
  </si>
  <si>
    <t>Sai Kung</t>
  </si>
  <si>
    <t>skd</t>
  </si>
  <si>
    <t>Sha Tin</t>
  </si>
  <si>
    <t>std</t>
  </si>
  <si>
    <t>Sham Shui Po</t>
  </si>
  <si>
    <t>ssp</t>
  </si>
  <si>
    <t>Southern</t>
  </si>
  <si>
    <t>sod</t>
  </si>
  <si>
    <t>Tai Po</t>
  </si>
  <si>
    <t>tpd</t>
  </si>
  <si>
    <t>Tsuen Wan</t>
  </si>
  <si>
    <t>twd</t>
  </si>
  <si>
    <t>Tuen Mun</t>
  </si>
  <si>
    <t>tmd</t>
  </si>
  <si>
    <t>Wan Chai</t>
  </si>
  <si>
    <t>wcd</t>
  </si>
  <si>
    <t>Yau Tsim Mong</t>
  </si>
  <si>
    <t>ytm</t>
  </si>
  <si>
    <t>Yuen Long</t>
  </si>
  <si>
    <t>yld</t>
  </si>
  <si>
    <t>atmd001</t>
  </si>
  <si>
    <t>ayld001</t>
  </si>
  <si>
    <t>Kingswood Richly Plaza</t>
  </si>
  <si>
    <t>22.452153, 114.000390</t>
  </si>
  <si>
    <t>Categories</t>
  </si>
  <si>
    <t>Nature &amp; Scenary</t>
  </si>
  <si>
    <t>Heritage &amp; Culture</t>
  </si>
  <si>
    <t>Food &amp; Drink</t>
  </si>
  <si>
    <t>Recreation &amp; Activities</t>
  </si>
  <si>
    <t>Urban &amp; Architecture</t>
  </si>
  <si>
    <t>Vibe</t>
  </si>
  <si>
    <t>Chill</t>
  </si>
  <si>
    <t>Romantic</t>
  </si>
  <si>
    <t>Bustling</t>
  </si>
  <si>
    <t>Zen</t>
  </si>
  <si>
    <t>Insta-Worthy</t>
  </si>
  <si>
    <t>Retro/Nostalgic</t>
  </si>
  <si>
    <t>Industrial</t>
  </si>
  <si>
    <t>Hidden</t>
  </si>
  <si>
    <t>Local Favorites</t>
  </si>
  <si>
    <t>Tourist Friendly</t>
  </si>
  <si>
    <t>Budget</t>
  </si>
  <si>
    <t>Free</t>
  </si>
  <si>
    <t>&lt;100</t>
  </si>
  <si>
    <t>100-500</t>
  </si>
  <si>
    <t>&gt;500</t>
  </si>
  <si>
    <t>Romantic, Insta-Worthy, Scenic, Local Favorites</t>
  </si>
  <si>
    <t>ayld002</t>
  </si>
  <si>
    <t>Ha Pak Nai</t>
  </si>
  <si>
    <t>22.4267459, 113.9430758</t>
  </si>
  <si>
    <t>ayld003</t>
  </si>
  <si>
    <t>Lau Fau Shan</t>
  </si>
  <si>
    <t>22.4673801, 113.9841334</t>
  </si>
  <si>
    <t>Hidden, Chill</t>
  </si>
  <si>
    <t>ayld004</t>
  </si>
  <si>
    <t>Nam Sang Wai Cable Ferry</t>
  </si>
  <si>
    <t>Tourist Friendly, Chill, Local Favorites, Hidden</t>
  </si>
  <si>
    <t>22.453904, 114.034803</t>
  </si>
  <si>
    <t>The only manual ferry in hong kong, recommended for cyclists</t>
  </si>
  <si>
    <t>ayld005</t>
  </si>
  <si>
    <t>Tai Tong Country Park</t>
  </si>
  <si>
    <t>22.40922, 114.03178</t>
  </si>
  <si>
    <t>Hiking</t>
  </si>
  <si>
    <t>Tourist Friendly, Hiking</t>
  </si>
  <si>
    <t>ayld006</t>
  </si>
  <si>
    <t>Hong Kong Wetland Park</t>
  </si>
  <si>
    <t>22.468094, 114.004183</t>
  </si>
  <si>
    <t>Bus, Light Rail</t>
  </si>
  <si>
    <t>ayld007</t>
  </si>
  <si>
    <t>Tin Sau Bazaar</t>
  </si>
  <si>
    <t>22.465715, 114.000768</t>
  </si>
  <si>
    <t>ayld008</t>
  </si>
  <si>
    <t>ayld009</t>
  </si>
  <si>
    <t>ayld010</t>
  </si>
  <si>
    <t>Ho Wo Street</t>
  </si>
  <si>
    <t>22.357358, 113.953006</t>
  </si>
  <si>
    <t>atmd002</t>
  </si>
  <si>
    <t>T·PARK</t>
  </si>
  <si>
    <t>22.422296, 113.924178</t>
  </si>
  <si>
    <t>atmd003</t>
  </si>
  <si>
    <t>22.371299, 113.988551</t>
  </si>
  <si>
    <t>Hong Kong Golden Beach</t>
  </si>
  <si>
    <t>atmd004</t>
  </si>
  <si>
    <t>22.390823, 114.024112</t>
  </si>
  <si>
    <t>Reservoir Islands Viewpoint</t>
  </si>
  <si>
    <t>askd001</t>
  </si>
  <si>
    <t>Tap Mun</t>
  </si>
  <si>
    <t>atpd001</t>
  </si>
  <si>
    <t>Tung Ping Chau</t>
  </si>
  <si>
    <t>atpd002</t>
  </si>
  <si>
    <t>Tai Mei Tuk</t>
  </si>
  <si>
    <t>Go Green Organic Farm</t>
  </si>
  <si>
    <t>22.433645, 114.061176</t>
  </si>
  <si>
    <t>Family Friendly</t>
  </si>
  <si>
    <t>Chill, Family Friendly</t>
  </si>
  <si>
    <t>A short walk from MTR Tin Shui Wai Station or the Locwood Light Rail stop brings you to Kingswood Richly Plaza, a cornerstone of daily life for local residents. Unlike the polished, corporate malls typically found in Hong Kong, "Richly" is a maze of small, independently owned stalls and narrow corridors that hum with a distinct, "down-to-earth" energy. It is often described as the "vernacular heart" of the district, offering a stark contrast to the standardized, high-end shopping centers nearby. The plaza is particularly famous as a street food sanctuary. Students and families frequent the first and second floors for affordable snacks, ranging from spicy Sichuan noodles and tofu fa to creative fusion pancakes and Hong Kong-style "cart noodles." Beyond food, the mall is a dense ecosystem of essential services—tucked away in its winding corners, you'll find family clinics, local hair salons, hardware stores, and tiny boutiques selling everything from trendy phone cases to traditional dried goods. For many in Tin Shui Wai, it is more than just a place to shop; it is a vital community hub where the atmosphere is busy, unpretentious, and deeply rooted in the neighborhood's history.</t>
  </si>
  <si>
    <t>Located just to the west of Lau Fau Shan is Ha Pak Nai, widely celebrated as the premier spot in Hong Kong for witnessing the sunset. As the tide recedes, the vast mudflats transform into a natural mirror, reflecting the sky's shifting colors in the shallow, still waters. The landscape is dotted with dense mangroves and weathered oyster beds, forming a unique ecosystem that serves as a sanctuary for rare horseshoe crabs and migratory birds. Looking across Deep Bay, the towering skyscrapers of Shenzhen's Shekou district create a striking contrast against the tranquil coastline. Beyond its natural beauty, the area holds significant historical weight; hidden within the village is a fortified structure dating back to the 1911 Revolution, now a declared monument. Unlike the bustling seafood markets nearby, Ha Pak Nai offers a quiet, reflective atmosphere where the rhythm of the tides and the history of the frontier converge.</t>
  </si>
  <si>
    <t>About 20 minutes by double-decker bus or minibus from MTR Tin Shui Wai Station lies Lau Fau Shan, a seafood town overlooking Shenzhen in Mainland China.After hopping off the bus and wandering down a narrow alleyway, you'll find yourself flanked by a dense row of seafood restaurants and shops selling fresh catches and dried goods. As you emerge from the passage, the view suddenly opens up to the sea. There is a large square where the skyline of Shenzhen's skyscrapers stretches across the water. To your left, you can see the Shenzhen Bay Bridge spanning the waves, which carries travelers by car to the immigration checkpoint in western Shenzhen. The square also features a sculpture of an oyster—the local specialty—making it a perfect "Instagrammable" spot. Along the alley you walked through, you can enjoy ginger-infused sweets and tofu fa (tofu pudding) in addition to seafood, making it a great place for a quick break. It is a town that offers a seafood experience with a vibe quite distinct from the outlying islands or Sai Kung. While the town remains famous for its seafood restaurants today, the local oysters have lost some of their former glory, reportedly due to pollution from the Shenzhen side. Right nearby, vast wetlands stretch across the landscape, and there is an observation deck on the hill of Lau Fau Shan where you can look out over the entire marshy expanse. With Shenzhen situated directly on the opposite bank, you can clearly see the buildings on the other side with the naked eye.</t>
  </si>
  <si>
    <t>Situated in the southern reaches of Yuen Long, Tai Tong Country Park serves as a lush, sprawling escape for city dwellers and is arguably most famous for its seasonal transformation. While Hong Kong is primarily known for its tropical greenery, Tai Tong offers a rare spectacle of "autumn red." Every year between December and January, the Sweet Gum Woods (Liquidambar formosana) along the Tai Tong Shan Road turn various shades of amber, orange, and deep crimson. This phenomenon draws thousands of visitors who come to witness the maple-like foliage, making the narrow road a vibrant, bustling promenade of photographers and families. Beyond the seasonal colors, the park is a gateway to the extensive Tai Lam Country Park, which is the second-largest in Hong Kong. From the Tai Tong entrance, hikers can access the final section (Section 10) of the famous MacLehose Trail, leading toward the tranquil waters of the Tai Lam Chung Reservoir, often referred to as the "Thousand Islands Lake" for its stunning archipelago-like views. The park's infrastructure is well-developed, featuring expansive barbecue pits and picnic sites shaded by towering pine and eucalyptus trees, providing a cool respite even during the humid summer months. The terrain here is accessible yet varied. For those looking for a leisurely stroll, the paved slopes of the Tai Tong Nature Trail offer educational insights into local ecology and geology. For more adventurous explorers, the connecting mountain paths lead to higher elevations, offering sweeping panoramic views of the Yuen Long Plain, the village clusters of Shap Pat Heung, and the distant skyline of Shenzhen across the border. Historically, the area was once a center for forestry and agriculture; today, the nearby Tai Tong Organic Ecopark carries on this legacy, allowing visitors to experience strawberry picking and pony rides, adding a layer of rural charm to the mountainous landscape.</t>
  </si>
  <si>
    <t>Located on the northern edge of Tin Shui Wai in the New Territories, the Hong Kong Wetland Park is a world-class conservation, education, and tourism facility that serves as a vital ecological mitigation area for the surrounding urban development. Spanning over sixty hectares, the park is divided into a large indoor visitor center known as the Wetland Interactive World and an expansive outdoor Wetland Reserve that showcases the diversity of Hong Kong's wetland ecosystems. The journey typically begins in the visitor center, which houses themed exhibition galleries, a 3D cinema, and an indoor swamp adventure play area, providing a high-tech introduction to the importance of wetland conservation before guests venture into the natural habitats. Once outside, the park unfolds into a series of meticulously maintained environments, including the Stream Walk, the Dragonfly Pond, and the Butterfly Garden, where visitors can observe local flora and fauna in their native settings. One of the park's most famous residents is Pui Pui, a salt-water crocodile discovered in the Shan Pui River, who now lives in a dedicated outdoor enclosure designed to mimic her natural habitat. The park is particularly renowned for its Mangrove Boardwalk, a floating path that allows visitors to walk directly over the mudflats to see mudskippers, fiddler crabs, and various mangrove species up close without disturbing the delicate soil. For birdwatchers, the park is a premier destination, especially during the migratory season when thousands of birds stop over in the marshes and freshwater ponds; several three-story bird hides equipped with telescopes are strategically placed around the reserve, offering silent vantage points to observe rare species like the black-faced spoonbill. The landscape provides a striking visual contrast, where the tranquil, horizontal expanse of reeds and water is framed by the vertical forest of high-rise residential towers in Tin Shui Wai, serving as a constant reminder of the delicate balance between urban growth and environmental preservation. Throughout the year, the park hosts various educational workshops and guided tours that highlight the functions of wetlands in water purification and flood control, making it a critical hub for environmental research and community engagement. Whether exploring the Successive Exhibition Galleries or trekking through the Wildside Walk, visitors experience a side of Hong Kong that feels worlds away from the city's neon-lit streets, defined instead by the rhythmic sounds of cicadas and the sight of herons gliding over the water at dusk.</t>
  </si>
  <si>
    <t>If you're looking for a shopping experience that feels a world away from the shiny, cookie-cutter malls in the city center, you've got to check out Tin Sau Bazaar in Tin Shui Wai North, which is basically this open-air grid of about 130 tiny stalls run by the Tung Wah Group of Hospitals to help out the local grassroots community. I stumbled upon it while visiting the nearby Wetland Park, and it has such a raw, neighborhood vibe where you can find everything from super cheap household hardware and stationery to those random little hair salons and garment alteration shops that you don't see much of anymore. It's definitely not fancy—the shops are all housed in these uniform, prefabricated containers lined up in rows—but there's something really authentic about seeing the elderly residents from the surrounding public housing estates chatting with the stall owners, who are often locals themselves trying to make a living with the lower rents. You can pick up daily necessities like dried seafood, fresh eggs, or even some surprisingly good street snacks and halal food for way less than what you'd pay at a chain supermarket, though you have to be prepared for the weather since it's entirely outdoors. I went on a humid afternoon and it was pretty scorching even with the big sun umbrellas they've installed, but when a breeze kicks in or during the cooler months, it's actually a nice place to just wander and see the "real" side of life in the New Territories. It's got a bit of a "dawn market" legacy since it was built to give illegal street hawkers a permanent home, and while it's sometimes a bit quiet on weekdays, it really comes alive during their weekend arts fairs or community events. It might not be a tourist destination in the traditional sense, but if you value social enterprises and want to support a place that actually helps low-income families while finding some hidden gems for a few dollars, it's worth the short Light Rail trip to the Tin Sau stop.</t>
  </si>
  <si>
    <t>ryld001</t>
  </si>
  <si>
    <t>Wing Shun Restaurant</t>
  </si>
  <si>
    <t>cuisine</t>
  </si>
  <si>
    <t>Chinese</t>
  </si>
  <si>
    <t>famous_dish</t>
  </si>
  <si>
    <t>opening_time</t>
  </si>
  <si>
    <t>Satay Beef Noodle</t>
  </si>
  <si>
    <t>type</t>
  </si>
  <si>
    <t>Cha Chaan Teng</t>
  </si>
  <si>
    <t>MTR, Bus, Light Rail</t>
  </si>
  <si>
    <t>0630-1730</t>
  </si>
  <si>
    <t>51-100</t>
  </si>
  <si>
    <t>ryld002</t>
  </si>
  <si>
    <t>LokWu Noodles</t>
  </si>
  <si>
    <t>Knife Cut Noodles</t>
  </si>
  <si>
    <t>1200-2200</t>
  </si>
  <si>
    <t>ryld003</t>
  </si>
  <si>
    <t>rtmd001</t>
  </si>
  <si>
    <t>雲川</t>
  </si>
  <si>
    <t>Rice Noodles</t>
  </si>
  <si>
    <t>1100-2230</t>
  </si>
  <si>
    <t>rtmd002</t>
  </si>
  <si>
    <t>很得輝</t>
  </si>
  <si>
    <t>Snacks</t>
  </si>
  <si>
    <t>Hong Kong</t>
  </si>
  <si>
    <t>Fried Chicken</t>
  </si>
  <si>
    <t>&lt;50</t>
  </si>
  <si>
    <t>1230-0200</t>
  </si>
  <si>
    <t>rtmd003</t>
  </si>
  <si>
    <t>劉興記生煎包專門店</t>
  </si>
  <si>
    <t>Shengjian Mantou (Pan Fried Bun)</t>
  </si>
  <si>
    <t>1130-2030</t>
  </si>
  <si>
    <t>1986正宗越南料理 VIETNAMESE RESTAURANT</t>
  </si>
  <si>
    <t>Restaurant</t>
  </si>
  <si>
    <t>Vietnamese</t>
  </si>
  <si>
    <t>Pho (Vietnamese Noodle)</t>
  </si>
  <si>
    <t>50-100</t>
  </si>
  <si>
    <t>1100-2030</t>
  </si>
  <si>
    <t>rtwd</t>
  </si>
  <si>
    <t>atmd005</t>
  </si>
  <si>
    <t>atwd001</t>
  </si>
  <si>
    <t>atwd002</t>
  </si>
  <si>
    <t>atwd003</t>
  </si>
  <si>
    <t>atwd004</t>
  </si>
  <si>
    <t>atwd005</t>
  </si>
  <si>
    <t>assp001</t>
  </si>
  <si>
    <t>assp002</t>
  </si>
  <si>
    <t>assp003</t>
  </si>
  <si>
    <t>assp004</t>
  </si>
  <si>
    <t>assp005</t>
  </si>
  <si>
    <t>aytm001</t>
  </si>
  <si>
    <t>aytm002</t>
  </si>
  <si>
    <t>aytm003</t>
  </si>
  <si>
    <t>aytm004</t>
  </si>
  <si>
    <t>aytm005</t>
  </si>
  <si>
    <t>acwd001</t>
  </si>
  <si>
    <t>acwd002</t>
  </si>
  <si>
    <t>acwd003</t>
  </si>
  <si>
    <t>acwd004</t>
  </si>
  <si>
    <t>acwd005</t>
  </si>
  <si>
    <t>asod001</t>
  </si>
  <si>
    <t>asod002</t>
  </si>
  <si>
    <t>asod003</t>
  </si>
  <si>
    <t>asod004</t>
  </si>
  <si>
    <t>asod005</t>
  </si>
  <si>
    <t>awcd001</t>
  </si>
  <si>
    <t>awcd002</t>
  </si>
  <si>
    <t>awcd003</t>
  </si>
  <si>
    <t>awcd004</t>
  </si>
  <si>
    <t>awcd005</t>
  </si>
  <si>
    <t>aead001</t>
  </si>
  <si>
    <t>aead002</t>
  </si>
  <si>
    <t>aead003</t>
  </si>
  <si>
    <t>aead004</t>
  </si>
  <si>
    <t>aead005</t>
  </si>
  <si>
    <t>akcd001</t>
  </si>
  <si>
    <t>akcd002</t>
  </si>
  <si>
    <t>akcd003</t>
  </si>
  <si>
    <t>akcd004</t>
  </si>
  <si>
    <t>akcd005</t>
  </si>
  <si>
    <t>aktd001</t>
  </si>
  <si>
    <t>aktd002</t>
  </si>
  <si>
    <t>aktd003</t>
  </si>
  <si>
    <t>aktd004</t>
  </si>
  <si>
    <t>aktd005</t>
  </si>
  <si>
    <t>askd002</t>
  </si>
  <si>
    <t>askd003</t>
  </si>
  <si>
    <t>askd004</t>
  </si>
  <si>
    <t>askd005</t>
  </si>
  <si>
    <t>astd001</t>
  </si>
  <si>
    <t>astd002</t>
  </si>
  <si>
    <t>astd003</t>
  </si>
  <si>
    <t>astd004</t>
  </si>
  <si>
    <t>astd005</t>
  </si>
  <si>
    <t>atpd003</t>
  </si>
  <si>
    <t>atpd004</t>
  </si>
  <si>
    <t>atpd005</t>
  </si>
  <si>
    <t>awts001</t>
  </si>
  <si>
    <t>wts</t>
  </si>
  <si>
    <t>Wong Tai Sin</t>
  </si>
  <si>
    <t>awts002</t>
  </si>
  <si>
    <t>awts003</t>
  </si>
  <si>
    <t>awts004</t>
  </si>
  <si>
    <t>awts005</t>
  </si>
  <si>
    <t>anod001</t>
  </si>
  <si>
    <t>anod002</t>
  </si>
  <si>
    <t>anod003</t>
  </si>
  <si>
    <t>anod004</t>
  </si>
  <si>
    <t>anod005</t>
  </si>
  <si>
    <t>aisd001</t>
  </si>
  <si>
    <t>aisd002</t>
  </si>
  <si>
    <t>aisd003</t>
  </si>
  <si>
    <t>aisd004</t>
  </si>
  <si>
    <t>aisd005</t>
  </si>
  <si>
    <t>akwd001</t>
  </si>
  <si>
    <t>akwd002</t>
  </si>
  <si>
    <t>akwd003</t>
  </si>
  <si>
    <t>akwd004</t>
  </si>
  <si>
    <t>akwd005</t>
  </si>
  <si>
    <t>Kennedy Town New Praya</t>
  </si>
  <si>
    <t>Sai Wan Swimming Shed</t>
  </si>
  <si>
    <t>Hong Kong Observation Wheel</t>
  </si>
  <si>
    <t>Barker Road Viewing Point</t>
  </si>
  <si>
    <t>acwd006</t>
  </si>
  <si>
    <t>Hong Kong Museum of Medical Sciences</t>
  </si>
  <si>
    <t>acwd007</t>
  </si>
  <si>
    <t>acwd008</t>
  </si>
  <si>
    <t>acwd009</t>
  </si>
  <si>
    <t>Lan Kwai Fong</t>
  </si>
  <si>
    <t>Tai Kwun</t>
  </si>
  <si>
    <t>Central Market</t>
  </si>
  <si>
    <t>acwd010</t>
  </si>
  <si>
    <t>Hong Kong Zoological and Botanical Gardens</t>
  </si>
  <si>
    <t>Cape Collision Battery</t>
  </si>
  <si>
    <t>Tai Tam Tuk Reservoir Dam Viewpoint</t>
  </si>
  <si>
    <t>Monster Building Spot</t>
  </si>
  <si>
    <t>Chun Yeung Street</t>
  </si>
  <si>
    <t>Cityplaza</t>
  </si>
  <si>
    <t>Lei Yue Mun Park</t>
  </si>
  <si>
    <t>Tai O</t>
  </si>
  <si>
    <t>Citygate Outlets</t>
  </si>
  <si>
    <t>Lung Cheung Road Sitting-out Area</t>
  </si>
  <si>
    <t>Kowloon Walled City Park</t>
  </si>
  <si>
    <t>Kai Tak Sports Park</t>
  </si>
  <si>
    <t>Laguna Park</t>
  </si>
  <si>
    <t>Jordan Valley Park</t>
  </si>
  <si>
    <t>Central Kwai Chung Park</t>
  </si>
  <si>
    <t>Sha Tau Kok</t>
  </si>
  <si>
    <t>Long Valley Nature Centre</t>
  </si>
  <si>
    <t>UNESCO Global Geopark</t>
  </si>
  <si>
    <t>High Island Reservoir East Dam</t>
  </si>
  <si>
    <t>Green Egg Island</t>
  </si>
  <si>
    <t>Stanley Murray House</t>
  </si>
  <si>
    <t>Hong Kong Correctional Services Museum</t>
  </si>
  <si>
    <t>Waterfall Bay Park</t>
  </si>
  <si>
    <t>Ap Liu Street</t>
  </si>
  <si>
    <t>Golden Computer Arcade</t>
  </si>
  <si>
    <t>Ten Thousand Buddhas Monastery</t>
  </si>
  <si>
    <t>Kam Shan Country Park</t>
  </si>
  <si>
    <t>Hong Kong Heritage Museum</t>
  </si>
  <si>
    <t>Ngong Ping Viewing Point</t>
  </si>
  <si>
    <t>GO PARK Sai Sha</t>
  </si>
  <si>
    <t>22.283587, 114.125840</t>
  </si>
  <si>
    <t>22.2798456, 114.1175181</t>
  </si>
  <si>
    <t>22.2741043, 114.1171927</t>
  </si>
  <si>
    <t>Sunset Seaview Pavillion</t>
  </si>
  <si>
    <t>22.285354, 114.161736</t>
  </si>
  <si>
    <t>22.271291, 114.157525</t>
  </si>
  <si>
    <t>22.283415, 114.148558</t>
  </si>
  <si>
    <t>22.280879, 114.155398</t>
  </si>
  <si>
    <t>22.281552, 114.154078</t>
  </si>
  <si>
    <t>22.284051, 114.155443</t>
  </si>
  <si>
    <t>22.277695, 114.156412</t>
  </si>
  <si>
    <t>22.291335, 114.197828</t>
  </si>
  <si>
    <t>22.286438, 114.217314</t>
  </si>
  <si>
    <t>22.277737, 114.232659</t>
  </si>
  <si>
    <t>Pui O Beach</t>
  </si>
  <si>
    <t>22.238876, 113.978691</t>
  </si>
  <si>
    <t>22.254151, 113.862149</t>
  </si>
  <si>
    <t>22.289652, 113.941258</t>
  </si>
  <si>
    <t>22.342497, 114.174208</t>
  </si>
  <si>
    <t>22.284277, 114.212469</t>
  </si>
  <si>
    <t>Shopping</t>
  </si>
  <si>
    <t>summary_desc</t>
  </si>
  <si>
    <t>facilities_desc</t>
  </si>
  <si>
    <t>tips_desc</t>
  </si>
  <si>
    <t>Environmental Tags</t>
  </si>
  <si>
    <t>Demographic Tags</t>
  </si>
  <si>
    <t>Religious &amp; Spiritual</t>
  </si>
  <si>
    <t>Outdoor</t>
  </si>
  <si>
    <t>Indoor</t>
  </si>
  <si>
    <t>Steep Terrain</t>
  </si>
  <si>
    <t>Couples</t>
  </si>
  <si>
    <t>Solo Travelers</t>
  </si>
  <si>
    <t>Elderly Friendly</t>
  </si>
  <si>
    <t>Pet Friendly</t>
  </si>
  <si>
    <t>vibes</t>
  </si>
  <si>
    <t>environmental_tags</t>
  </si>
  <si>
    <t>demographic_tags</t>
  </si>
  <si>
    <t>Nature &amp; Scenery</t>
  </si>
  <si>
    <t>Chill, Local Favorites</t>
  </si>
  <si>
    <t>Outdoor, Steep Terrain</t>
  </si>
  <si>
    <t>Family Friendly, Tourist Friendly</t>
  </si>
  <si>
    <t>Lei Yue Mun Park is a large park with a playground, archery, karaoke, and a horse riding school. It offers a scenic outdoor space with a steep hill.</t>
  </si>
  <si>
    <t>Playground, Archery, Karaoke room, Bicycle rental, Board games, Bracelet making workshop, BBQ facilities, Horseback riding school, canteen.</t>
  </si>
  <si>
    <t>Bring mosquito repellent, wear comfortable shoes for steep slopes, and bring your own drinks to save money. Be prepared for pricey vending machine drinks and the strict coach at the archery range.</t>
  </si>
  <si>
    <t>Pui O Beach, located on the south side of Lantau Island, offers a relaxing experience with a mix of black and yellow sand, a popular weekend destination, and opportunities for swimming, camping, and exploring the surrounding landscape.</t>
  </si>
  <si>
    <t>Facilities include Beach, Lifeguard Station, Beach Shack Cafe, Rental, and Camping.</t>
  </si>
  <si>
    <t>Visit during the off-season for fewer crowds. Bring sunscreen and a hat. Be mindful of the mud on the beach. Check the beach's status before heading there. Enjoy the scenic views and the local culture.</t>
  </si>
  <si>
    <t>Local Favorites, Hidden</t>
  </si>
  <si>
    <t>Tai O is a charming fishing village in Hong Kong, offering a glimpse into traditional life. Located near the Big Buddha, it features stilts over the water and a unique atmosphere. Visitors can easily access the village via bus from the Big Buddha and ca, and enjoy boat rides to see pink dolphins. The village is known for its fish products, curried fish balls, and local sauces.</t>
  </si>
  <si>
    <t>Bus services connect Tai O to the Big Buddha. Boat rides are available to see pink dolphins.</t>
  </si>
  <si>
    <t>Explore the village on foot, try the local curried fish balls and sauces, and take advantage of the boat rides to see the pink dolphins. Be prepared for a slower pace of travel due to the village's size.</t>
  </si>
  <si>
    <t>Citygate Outlets is a large shopping mall located near an airport, offering a wide variety of retail outlets, food options, and amenities. It features air conditioning, numerous shops, and convenient transportation links to the city center.</t>
  </si>
  <si>
    <t>The mall features MTR exits, bus routes, and ample space for walking. There are restrooms available.  Nearby apartments are also available for those needing a place to stay.</t>
  </si>
  <si>
    <t>For efficient travel, utilize the MTR station nearby.  Be prepared for crowds, especially during peak hours.  Check for deals and promotions on various shops.</t>
  </si>
  <si>
    <t>Kennedy Town New Praya is a charming neighborhood blending vintage architecture with modern amenities, offering a balance of history and contemporary life. It’s a popular spot for locals and tourists alike, providing a relaxed atmosphere with waterfront views and diverse dining options.</t>
  </si>
  <si>
    <t>The location offers MTR access via the Kennedy Town station.  A short walk leads to the Kennedy Town basketball court, offering a vantage point for observing the harbor.  There is a %Arabica coffee shop with a grand view to the harbor.  The area is also known for its local eateries and hip coffee shops.  Walking along the waterfront is a popular activity.</t>
  </si>
  <si>
    <t>For a truly local experience, explore the Kennedy Town area. Enjoy the diverse dining options and the waterfront views.  Be mindful of the area during peak hours to avoid crowds.</t>
  </si>
  <si>
    <t>Chill, Insta-Worthy</t>
  </si>
  <si>
    <t>Tourist Friendly, Couples</t>
  </si>
  <si>
    <t>A beautiful lookout for sunset views, offering stunning coastal scenery and a chance to capture iconic views.</t>
  </si>
  <si>
    <t>The location offers a wooden pier for walking and exploring. There are two staircases leading down to the pier, guiding you directly to the pier.</t>
  </si>
  <si>
    <t>Enjoy the sunset from the wooden pier. Take the stairs down to the pier for a unique experience. Be aware that the location can be popular, so expect a short wait for photos.</t>
  </si>
  <si>
    <t>Outdoor, Scenic</t>
  </si>
  <si>
    <t>Hong Kong offers a tranquil spot to witness stunning sunsets, particularly in a secluded area with limited crowds. A short walk down a staircase leads to a pavilion offering unobstructed views. Nearby, a large boat passage can be observed.</t>
  </si>
  <si>
    <t>The location offers a scenic view and is easily accessible via a 5B bus station.  A short walk down the stairs leads to a viewpoint.   There are multiple levels of stairs, with the UChicago campus accessible via a short walk.</t>
  </si>
  <si>
    <t>Be mindful of snakes roaming around the area, particularly on the path down to the pavilion. Wear protective gear against insects.  The stairs can be slippery, so exercise caution.</t>
  </si>
  <si>
    <t>Local Favorites, Insta-Worthy</t>
  </si>
  <si>
    <t>Tourist Friendly, Couples, Family Friendly, Elderly Friendly, Pet Friendly</t>
  </si>
  <si>
    <t>The Hong Kong Observation Wheel is a lovely spot to enjoy the skyline, both day and night. The location is perfect — right by Victoria Harbour — offering panoramic views of Hong Kong Island, Kowloon, and the surrounding lights.</t>
  </si>
  <si>
    <t>The ride is smooth and lasts around 15 minutes, giving you enough time to enjoy the scenery and take photos. The cabins are air-conditioned and comfortable, making it pleasant even on warm days. Staff are friendly and the ticket price is reasonable compared to the experience. It’s great for families, couples, or anyone who loves city views.</t>
  </si>
  <si>
    <t>If you're in Hong Kong, even just for a few hours, this is a fun and easy way to take in the city from above. Definitely recommend i!t</t>
  </si>
  <si>
    <t>Insta-Worthy, Hidden</t>
  </si>
  <si>
    <t>Tourist Friendly, Solo Travelers</t>
  </si>
  <si>
    <t>Barker Road Viewing Point offers breathtaking panoramic views of Victoria Harbour, particularly popular with cyclists and motorcyclists. The location is a vibrant spot for capturing scenic moments and connecting with fellow enthusiasts. While traffic can occasionally disrupt the tranquility, the overall atmosphere is excellent.</t>
  </si>
  <si>
    <t>The viewing point offers direct access to the Victoria Harbor view. There is a roadside photo opportunity with a magnificent harbor view. A short cycling route is available from Admiralty to the Peak, offering less traffic and a more peaceful experience. The area is accessible by bicycle and offers a scenic route through the quick road.</t>
  </si>
  <si>
    <t>For optimal views, arrive early in the morning or late in the afternoon to avoid peak traffic. Bring a camera to capture the stunning scenery. Consider cycling to the Peak for a quieter experience.</t>
  </si>
  <si>
    <t>Tourist Friendly, Family Friendly</t>
  </si>
  <si>
    <t>The Hong Kong Museum of Medical Sciences is a historical museum showcasing the evolution of medical science in Hong Kong, from the 19th century to the present day. It offers a comprehensive look at the history of medical practices, equipment, and research, including exhibits on the history of the plague, early medical techniques, and the development of Chinese medicine. The museum’s location in the Mid Levels of Hong Kong provides a unique setting, blending Western and traditional architectural elements.</t>
  </si>
  <si>
    <t>The museum features a large exhibition hall with interactive exhibits, including a simulated surgery experience, a display of medical equipment, and a presentation on the history of the plague. There is also a dedicated area for Chinese medicine exhibits, including a 3D Acu-Man exhibition.</t>
  </si>
  <si>
    <t>To get the best experience, take the MTR to Sheung Wan or Sai Ying Pun stations. The museum is open Tuesday to Saturday, 10 am to 5 pm, and Sunday and public holidays are open until 5 pm. Be prepared for a walk up a hill to reach the museum.</t>
  </si>
  <si>
    <t>Lan Kwai Fong is a vibrant, energetic hub in Hong Kong's Central district, known for its diverse range of bars, clubs, and restaurants. It's a popular destination for tourists and locals alike, offering a lively atmosphere and a wide selection of entertainment. The area is known for its pubs, and a historic prison is located nearby.</t>
  </si>
  <si>
    <t>The area boasts a wide array of amenities, including numerous bars, nightclubs, cocktail bars, and restaurants. Visitors can easily access MTR stations, including Central Station Exit D1, and walk along Pedder Street and Wyndham Street. Taxi services are readily available. There are also art galleries and restaurants to visit during the day.</t>
  </si>
  <si>
    <t>For a truly immersive experience, explore the area after 9:30 PM, especially on Friday and Saturday nights. Be prepared for crowds and a high level of energy.  If you're looking for a relaxing evening, consider visiting during the day to explore the local art galleries and restaurants.  Be aware of the potential for sleazy behavior and prioritize your safety.  Enjoy the vibrant nightlife and embrace the local culture.</t>
  </si>
  <si>
    <t>Indoor, Budget</t>
  </si>
  <si>
    <t>Tai Kwun, a heritage-arts venue and living record of the legal system in Hong Kong, offers a unique blend of history, art, and culture. Located in Central, it features 16 revitalized buildings, including the former Central Police Station and Magistracy, and is home to interactive exhibits and a diverse range of activities. Visitors can explore the justice system history, enjoy a mix of art, music, and theatre, and experience a vibrant atmosphere.</t>
  </si>
  <si>
    <t>Tai Kwun offers a variety of facilities, including shops, restaurants, exhibitions, and interactive exhibits. The complex includes 3 major heritage properties: Former Central Police Station, Former Central Magistracy, and Former Victoria Prison. Visitors can explore the former Central Police Station, the former Central Magistracy, and the former Victoria Prison, all declared monuments in Hong Kong. The complex includes a large space for exhibitions, and a variety of food and drink outlets. The complex includes a new JC Contemporary also within the compound.</t>
  </si>
  <si>
    <t>Visit the museum to learn about the history of the legal system and the justice system. Take a walk around the complex to see the different buildings and historical sites. Be sure to allow ample time to explore the different sections and attractions. The complex is large, so plan your route in advance.</t>
  </si>
  <si>
    <t>Local Favorites, Retro/Nostalgic</t>
  </si>
  <si>
    <t>Tourist Friendly, Family Friendly, Solo Travelers, Elderly Friendly</t>
  </si>
  <si>
    <t>Hong Kong's historic street market, once a bustling commercial hub, has been revitalized into a vibrant and engaging public space.  This landmark, preserved as a 'Playground For All', now offers a unique blend of traditional heritage and modern design, attracting visitors seeking a memorable cultural experience.</t>
  </si>
  <si>
    <t>The market features numerous food stalls, artisanal shops, and cafes.  There are several shops selling unique clothing, jewelry, and handmade goods.  The ground floor offers a variety of dining options and drinks.  The upper floors house exhibition spaces and quirky shops like Tiny HK.  A quick link to the mid-levels escalator is readily available.</t>
  </si>
  <si>
    <t>Explore the market's diverse offerings, from local street food to handcrafted goods.  Take your time to wander through the stalls and soak in the atmosphere.  Don't be afraid to strike up conversations with vendors and locals.  Enjoy a leisurely meal and a refreshing drink.</t>
  </si>
  <si>
    <t>Outdoor, Free</t>
  </si>
  <si>
    <t>Family Friendly, Solo Travelers</t>
  </si>
  <si>
    <t>The Hong Kong Zoological and Botanical Gardens is a free to enter park and botanical garden in Hong Kong, offering a peaceful escape in the heart of the city while promoting education and conservation efforts. It features a diverse range of plants and animals, including primates, birds, and mammals, and provides a unique experience for families, tourists, and nature enthusiasts. The park is known for its beautiful greenery, wildlife, and accessible pathways.</t>
  </si>
  <si>
    <t>The park offers a variety of facilities, including walking paths, arboretum, and a green house. Visitors can enjoy walking around before getting on the Peak tram, observing animals and birds, and relaxing in the peaceful atmosphere. The park is hilly, so come rested.</t>
  </si>
  <si>
    <t>Visit during mornings and afternoons for quieter experiences. The zoo is free, and it's a great place to explore different species of animals and plants.  The park is a great place to relax and escape the hustle and bustle of the city.</t>
  </si>
  <si>
    <t>Urban</t>
  </si>
  <si>
    <t>The Monster Building in Quarry Bay is a striking example of high-density urban living in Hong Kong, featuring a complex of five interconnected apartments. Originally built in the 1960s as a common home, it has become an iconic photography and film location, frequently featured in Hollywood movies. It’s a popular destination for architecture enthusiasts and urban explorers, with over 2,200 apartment units and thousands of residents.</t>
  </si>
  <si>
    <t>Free of charge, with two entrances on King’s Road. Accessible by subway, bus, taxi, or ding ding.</t>
  </si>
  <si>
    <t>Allow 30 minutes to take pictures without disturbing locals. Support the locals by visiting cafes and stores in the complex. Do not disturb the locals as this is their living place.</t>
  </si>
  <si>
    <t>Outdoor, Urban</t>
  </si>
  <si>
    <t>This location offers a unique experience with a wet market and tram views, particularly popular for photographers. It’s a vibrant, bustling area with a strong local atmosphere.</t>
  </si>
  <si>
    <t>The location features a wet market with shops and stalls, and a tramway passing through the market. MTR exit: North Point station A1 or eastbound tram heading towards the North Point terminus.</t>
  </si>
  <si>
    <t>Be prepared for crowds, especially during peak hours, and consider bringing cash as prices may be higher than other markets. Enjoy the atmosphere and capture some memorable photos.</t>
  </si>
  <si>
    <t>City Plaza is a large-scale mall in Taikoo Shing, offering a wide selection of shops, restaurants, and entertainment options. It features an ice rink, cinema, cafes, shops, and restaurants, catering to a diverse range of shoppers and visitors.  The plaza is known for its extensive selection of brands, including Zara, H&amp;M, and Uniqlo, alongside more affordable options.  It’s a popular destination for families, with a Lego store, ToysRUs, and McDonalds.  The plaza is generally easy to navigate and offers late-night hours.</t>
  </si>
  <si>
    <t>The plaza features an ice rink, cinema, cafes, shops, and restaurants.  It’s easily accessible via the MTR (Tai Koo station).  There is a large selection of well-known, chain-store brands available, including Zara, H&amp;M, Club Monaco, Giordano, Levis, Marks &amp; Spencer, Uniqlo, and Superdry.</t>
  </si>
  <si>
    <t>For shopping, City Plaza is a great place to explore a wide range of brands and stores.  It’s particularly popular for families and those seeking a variety of dining options.  Be aware of peak shopping hours, especially during weekends.</t>
  </si>
  <si>
    <t>Insta-Worthy, Scenic</t>
  </si>
  <si>
    <t>The Lung Cheung Road Observatory is a small location offering panoramic city views. It provides a stunning vista of the skyline framed by mountains and greenery, particularly impressive during both daytime and nighttime. The area is known for its unobstructed views and peaceful atmosphere. Visitors can easily access this vantage point.</t>
  </si>
  <si>
    <t>The Lung Cheung Road Observatory offers sweeping, unobstructed views of the city skyline. Transportation options include taking a bus directly to the Phoenix House stop, or a 15-minute uphill walk from the Moonbeam Terrace bus stop.</t>
  </si>
  <si>
    <t>Bring a camera to capture the stunning views. Consider visiting after dark for the best nighttime panorama. Be prepared for a slightly challenging uphill walk if taking the bus route alighting at Moonbeam Terrace.</t>
  </si>
  <si>
    <t>Hidden, Local Favorites</t>
  </si>
  <si>
    <t>Tourist Friendly, Solo Travelers, Elderly Friendly</t>
  </si>
  <si>
    <t>Kowloon Walled Park is a historical park in Hong Kong, representing a unique territory with a complex past. The park incorporates restored former houses and offers a glimpse into the city's history. It provides a peaceful escape from the city's bustle, featuring landscaped gardens and traditional Chinese design. The park’s size is considerable, offering ample space for exploration and relaxation.</t>
  </si>
  <si>
    <t>Visitors can access the park by taking the subway to Sung Wong Toi then exit from B3, then walking two gates. A free exhibition from the movie Walled in, twilight of the warriors is available, but requires timed tickets. The park includes a basketball court, soccer court, and a cycling area. Traditional Chinese garden design, winding paths, ponds, and pavilions are present within the park.</t>
  </si>
  <si>
    <t>Walled in exhibition is free. Consider visiting during quieter times to avoid crowds and enjoy a more peaceful experience. The park is well-maintained and offers a pleasant walking experience.</t>
  </si>
  <si>
    <t>Tourist Friendly, Family Friendly, Solo Travelers</t>
  </si>
  <si>
    <t>Kai Tak Sports Park is a large open space developed from the former Kai Tak Airport Grounds. It encompasses sports facilities, residential towers, restaurants, and malls, spanning a significant area between Sung Wong Toi and Kai Tak MTR Stations. The park features a 10,000-capacity sports ground and a 50,000-seat stadium. The area offers a blend of recreational activities, shopping, and dining options, creating a vibrant and modern atmosphere.</t>
  </si>
  <si>
    <t>Visitors can access the park by exiting Kai Tak Station on the Tuen Ma Line. It involves a considerable walk due to the expansive area. The park includes large-scale sculptures, fountain pools, benches, and covered walkways for shade and protection from the elements. Several malls are located around the area, offering a variety of food choices. Public toilets are available within the area. The waterfront is beginning to open, utilizing the old airport runway and extending to the adjacent cruise terminal.</t>
  </si>
  <si>
    <t>Visitors should be prepared for a long walk from the MTR exits. The malls are good places to cool down on hot summer days. Locals frequently visit the park for walks and dog-walking.</t>
  </si>
  <si>
    <t>Family Friendly, Elderly Friendly, Solo Travelers</t>
  </si>
  <si>
    <t>Laguna Park is a large neighborhood park situated adjacent to Laguna City, serving a residential community of over 20,000 people. It offers a green space for recreation and relaxation, featuring jogging tracks and fitness equipment. The park’s origins date back to 1991 as part of a housing development marketing campaign. While functional, it doesn’t offer extraordinary features and can be crowded during peak times.</t>
  </si>
  <si>
    <t>The park includes a children’s playground, jogging track, fitness equipment, benches, public restrooms, and smaller water fountains. There are trees providing shade. Access to the park is available via local residential streets.</t>
  </si>
  <si>
    <t>Ask the staff to heat up your pastry, and avoid visiting during peak hours if you dislike loud music.</t>
  </si>
  <si>
    <t>Jordan Valley Park is a large park offering green spaces and recreational activities. It features expansive lawns, a model car racing track, and a family-friendly climbing trail. The park provides a relaxing escape from the city, with well-maintained facilities and ample space for various activities. It’s a popular spot for families and individuals seeking outdoor recreation.</t>
  </si>
  <si>
    <t>The park has two central lawns suitable for running and relaxing, and it includes running trails with varying routes and inclines. There is a remote car circuit for children to enjoy, and the Jordan Valley Morning Trail provides a family-friendly climbing experience. The park also offers a car park.</t>
  </si>
  <si>
    <t>Ask the staff to heat up your pastry, and avoid visiting during peak hours if you dislike loud music. The car park can be limited, and visitors may need to park at the police apartments if it is full.</t>
  </si>
  <si>
    <t>Kwai Chung Plaza</t>
  </si>
  <si>
    <t>Central Kwai Chung Park is a hidden park located in the industrial district of Hong Kong. It offers walking trails, sports courts, and shaded areas, providing a peaceful escape from the urban environment. The park boasts rich biodiversity and interesting historical features. It’s an oasis of nature within the city.</t>
  </si>
  <si>
    <t>The park offers functional facilities, including two water dispensers and toilets. However, the walls on the sports courts are noted to be quite short. There are many little paths and places to explore within the park.</t>
  </si>
  <si>
    <t>Avoid visiting during peak hours if you dislike loud music. Be aware of mosquitoes and consider bringing repellent. The park is suitable for easy hiking and jogging.</t>
  </si>
  <si>
    <t>Bustling, Local Favorites</t>
  </si>
  <si>
    <t>Tourist Friendly, Solo Travelers, Budget</t>
  </si>
  <si>
    <t>Kwai Chung Plaza is a small, unique shopping venue located outside the Kwai Fong MTR Station. It offers a vibrant and lively atmosphere with hundreds of small, locally-owned shops and kiosks. The plaza is known for its budget-friendly prices and a diverse selection of goods, reminiscent of shopping in Southeast Asian cities. It’s a bustling and welcoming space for shoppers seeking a different experience.</t>
  </si>
  <si>
    <t>Kwai Chung Plaza is an indoor shopping venue accessible via the Kwai Fong MTR Station (exit D). The property opened in 1990 and features multiple floors, offering a variety of shops and eateries. There are several floors with food shops and a level selling fresh food such as vegetables and fruits. The plaza can be incredibly crowded, and while some recognizable brand name retailers and casual eateries are present, most of the businesses are locally owned. Taxi availability is assumed, but specific details are not mentioned.</t>
  </si>
  <si>
    <t>Be prepared for crowds and potential noise. Haggling is expected when shopping at the kiosks. This plaza offers a unique shopping experience, reminiscent of Southeast Asian markets, and is a good option for budget-conscious shoppers.</t>
  </si>
  <si>
    <t>Located at the border between the North District of the New Territories in Hong Kong and the Yantian District of Shenzhen in the Mainland, Sha Tau Kok was once a Frontier Closed Area. Following its opening, it has now become a popular destination for day trips, requiring a Closed Area Permit for entry. The first and second phases of Sha Tau Kok Pier have opened, providing transportation options for both individual travelers and day-trip tour groups. The area features spectacular coastlines and unique historical landmarks, such as vintage road signs and the Sun Moon Pavilion. Sha Tau Kok is renowned for its beautiful sea views and cultural history.</t>
  </si>
  <si>
    <t>Sha Tau Kok Pier is 280 meters long; originally built in the 1960s and later reconstructed in 2004, it is only a 20 to 30-minute boat ride from Kat O and Ap Chau. The pier promenade is a choice for romantic strolls. At the end of the pier, "The Ends of the Earth" paired with a pure white lighthouse offers beautiful scenery. 
Shun Ping Street features murals on the walls painted by Sha Tau Kok primary school students. At the end of the pier, "The Ends of the Earth" paired with a pure white lighthouse offers beautiful scenery.
The Old Sha Tau Kok Fire Station is a distinctive landmark of Sha Tau Kok, preserving its former appearance and displaying a 1:1 replica of a century-old hand-drawn fire engine. Chung Ying Street is located at the border and was once a trading center for Hong Kong merchants during the early Reform and Opening-up period; it is now a site of historical witness, featuring a wishing lookout and a garden modeled after the style of old Hong Kong railway stations.</t>
  </si>
  <si>
    <t>Apply for a Closed Area Permit to visit Sha Tau Kok. Kaito ferries are available to reach tourist hotspots such as Lai Chi Wo, Kat O, and Ap Chau. Consider avoiding peak hours to avoid crowds. Sha Tau Kok Pier offers a romantic walking route, featuring murals by Sha Tau Kok primary school students on the walls. Enjoy the lighthouse and sea views at "The Ends of the Earth." The Old Sha Tau Kok Fire Station displays a vintage fire engine and is a great spot for photos. Chung Ying Street Garden provides an opportunity to view Chung Ying Street and allows for hanging wishing plaques.</t>
  </si>
  <si>
    <t>High Island Reservoir and its surrounding Sai Kung East Country Park area offer stunning natural beauty and a peaceful escape from city life. The reservoir is massive, featuring breathtaking views of turquoise water, rugged coastline, and unique hexagonal rock columns. It’s a popular destination for nature lovers and hikers, providing a different side of Hong Kong. The area is known for its scenic trails and diverse landscapes. It’s a large area with a mix of easy and challenging walking routes.</t>
  </si>
  <si>
    <t>There are limited facilities available at High Island Reservoir. Transportation options include public buses and green taxis; a bus change is required, and the final leg involves a 30-minute taxi ride from the northeast of Hong Kong. The area offers views of the dam, island, cave, and lava columns.</t>
  </si>
  <si>
    <t>Bring enough water and snacks as facilities are limited. Consider visiting during sunrise or sunset for optimal photography opportunities. The area is easily accessible by taxi or public transportation (minibus change required). It’s a good starting point for longer or more challenging hikes.</t>
  </si>
  <si>
    <t>Hidden, Insta-Worthy</t>
  </si>
  <si>
    <t>Cape Collinson Battery is a hidden gem offering panoramic ocean views and sea cliffs. It’s a peaceful escape from the city, suitable for short adventures or quiet strolls. The location is accessible via a trail, though it requires some climbing. The area is relatively small and offers a unique perspective of the coastline.</t>
  </si>
  <si>
    <t>There is no official trail to the battery, but steps have been added to the fence marking the trail-head. Access requires a 30-minute walk from Siu Sai Wan to Big Wave Bay. The path to the battery is a hiking trail, and the area can be a bit less maintained. Be cautious when exploring the battery due to recent damage and rocks from a typhoon.</t>
  </si>
  <si>
    <t>Bring enough water and proper footwear for the hike. Use mosquito repellent, especially on hot days. Consider visiting on a weekday to avoid crowds. Be careful when exploring the battery due to recent damage.</t>
  </si>
  <si>
    <t>Chill, Hidden</t>
  </si>
  <si>
    <t>Outdoor, Budget, Free</t>
  </si>
  <si>
    <t>This location is a large reservoir situated in the Tai Tam Valley and Country Park on Hong Kong Island. It offers a peaceful escape from the city, characterized by greenery, waterfalls, and a dam. The area is known for its scenic beauty and historical waterworks structures. It is a popular destination for both locals and tourists seeking a relaxing experience.</t>
  </si>
  <si>
    <t>Visitors can access the reservoir via a casual and easy hike through the Tai Tam Waterworks Heritage Trail, starting from the south entrance or the northern entrance. Toilets, a water refill station, and drink machines are located at the south entrance. There are also a few BBQ spots along the Tai Tam Tuk reservoirs for picnics. Bus route 14 stops at Tai Tam Reservoir North to facilitate access.</t>
  </si>
  <si>
    <t>The reservoir is particularly impressive after heavy rainfall, showcasing the dam in full swing. Consider visiting during good weather for optimal photography. Explore Tai Tam Tuk Village for a peaceful experience. You can choose different routes to reach the reservoir depending on your starting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</si>
</sst>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1562-3E79-344E-9B82-D003F5E54972}">
  <dimension ref="A1:K120"/>
  <sheetViews>
    <sheetView tabSelected="1" zoomScale="115" zoomScaleNormal="115" workbookViewId="0">
      <pane xSplit="2" ySplit="1" topLeftCell="C2" activePane="bottomRight" state="frozen"/>
      <selection pane="topRight" activeCell="C1" sqref="C1"/>
      <selection pane="bottomLeft" activeCell="A2" sqref="A2"/>
      <selection pane="bottomRight" activeCell="B49" sqref="B49"/>
    </sheetView>
  </sheetViews>
  <sheetFormatPr baseColWidth="10" defaultColWidth="11" defaultRowHeight="16" x14ac:dyDescent="0.2"/>
  <cols>
    <col min="2" max="2" width="21.1640625" customWidth="1"/>
    <col min="3" max="3" width="16" bestFit="1" customWidth="1"/>
    <col min="4" max="4" width="22.6640625" bestFit="1" customWidth="1"/>
    <col min="5" max="5" width="19.6640625" bestFit="1" customWidth="1"/>
    <col min="6" max="7" width="19.6640625" customWidth="1"/>
    <col min="8" max="8" width="28.1640625" customWidth="1"/>
    <col min="9" max="9" width="26" customWidth="1"/>
    <col min="10" max="10" width="20.5" customWidth="1"/>
    <col min="11" max="11" width="15.5" customWidth="1"/>
  </cols>
  <sheetData>
    <row r="1" spans="1:11" x14ac:dyDescent="0.2">
      <c r="A1" t="s">
        <v>0</v>
      </c>
      <c r="B1" t="s">
        <v>7</v>
      </c>
      <c r="C1" t="s">
        <v>1</v>
      </c>
      <c r="D1" t="s">
        <v>2</v>
      </c>
      <c r="E1" t="s">
        <v>3</v>
      </c>
      <c r="F1" t="s">
        <v>319</v>
      </c>
      <c r="G1" t="s">
        <v>320</v>
      </c>
      <c r="H1" t="s">
        <v>321</v>
      </c>
      <c r="I1" t="s">
        <v>306</v>
      </c>
      <c r="J1" t="s">
        <v>307</v>
      </c>
      <c r="K1" t="s">
        <v>308</v>
      </c>
    </row>
    <row r="2" spans="1:11" x14ac:dyDescent="0.2">
      <c r="A2" t="s">
        <v>178</v>
      </c>
      <c r="B2" t="s">
        <v>242</v>
      </c>
      <c r="C2" t="str">
        <f>IF($A2&lt;&gt;"", _xlfn.IFNA(VLOOKUP(RIGHT(LEFT($A2,4),3),'District LookUp Table'!$A$2:$B$19,2,FALSE), "NOT FOUND"), "")</f>
        <v>Central &amp; Western</v>
      </c>
      <c r="D2" t="s">
        <v>285</v>
      </c>
      <c r="E2" t="s">
        <v>47</v>
      </c>
      <c r="F2" t="s">
        <v>61</v>
      </c>
      <c r="G2" t="s">
        <v>312</v>
      </c>
      <c r="H2" t="s">
        <v>62</v>
      </c>
      <c r="I2" t="s">
        <v>339</v>
      </c>
      <c r="J2" t="s">
        <v>340</v>
      </c>
      <c r="K2" t="s">
        <v>341</v>
      </c>
    </row>
    <row r="3" spans="1:11" x14ac:dyDescent="0.2">
      <c r="A3" t="s">
        <v>179</v>
      </c>
      <c r="B3" t="s">
        <v>243</v>
      </c>
      <c r="C3" t="str">
        <f>IF($A3&lt;&gt;"", _xlfn.IFNA(VLOOKUP(RIGHT(LEFT($A3,4),3),'District LookUp Table'!$A$2:$B$19,2,FALSE), "NOT FOUND"), "")</f>
        <v>Central &amp; Western</v>
      </c>
      <c r="D3" t="s">
        <v>286</v>
      </c>
      <c r="E3" t="s">
        <v>322</v>
      </c>
      <c r="F3" t="s">
        <v>342</v>
      </c>
      <c r="G3" t="s">
        <v>312</v>
      </c>
      <c r="H3" t="s">
        <v>343</v>
      </c>
      <c r="I3" t="s">
        <v>344</v>
      </c>
      <c r="J3" t="s">
        <v>345</v>
      </c>
      <c r="K3" t="s">
        <v>346</v>
      </c>
    </row>
    <row r="4" spans="1:11" x14ac:dyDescent="0.2">
      <c r="A4" t="s">
        <v>180</v>
      </c>
      <c r="B4" t="s">
        <v>288</v>
      </c>
      <c r="C4" t="str">
        <f>IF($A4&lt;&gt;"", _xlfn.IFNA(VLOOKUP(RIGHT(LEFT($A4,4),3),'District LookUp Table'!$A$2:$B$19,2,FALSE), "NOT FOUND"), "")</f>
        <v>Central &amp; Western</v>
      </c>
      <c r="D4" t="s">
        <v>287</v>
      </c>
      <c r="E4" t="s">
        <v>322</v>
      </c>
      <c r="F4" t="s">
        <v>53</v>
      </c>
      <c r="G4" t="s">
        <v>347</v>
      </c>
      <c r="H4" t="s">
        <v>62</v>
      </c>
      <c r="I4" t="s">
        <v>348</v>
      </c>
      <c r="J4" t="s">
        <v>349</v>
      </c>
      <c r="K4" t="s">
        <v>350</v>
      </c>
    </row>
    <row r="5" spans="1:11" x14ac:dyDescent="0.2">
      <c r="A5" t="s">
        <v>181</v>
      </c>
      <c r="B5" t="s">
        <v>244</v>
      </c>
      <c r="C5" t="str">
        <f>IF($A5&lt;&gt;"", _xlfn.IFNA(VLOOKUP(RIGHT(LEFT($A5,4),3),'District LookUp Table'!$A$2:$B$19,2,FALSE), "NOT FOUND"), "")</f>
        <v>Central &amp; Western</v>
      </c>
      <c r="D5" t="s">
        <v>289</v>
      </c>
      <c r="E5" t="s">
        <v>50</v>
      </c>
      <c r="F5" t="s">
        <v>351</v>
      </c>
      <c r="G5" t="s">
        <v>63</v>
      </c>
      <c r="H5" t="s">
        <v>352</v>
      </c>
      <c r="I5" t="s">
        <v>353</v>
      </c>
      <c r="J5" t="s">
        <v>354</v>
      </c>
      <c r="K5" t="s">
        <v>355</v>
      </c>
    </row>
    <row r="6" spans="1:11" x14ac:dyDescent="0.2">
      <c r="A6" t="s">
        <v>182</v>
      </c>
      <c r="B6" t="s">
        <v>245</v>
      </c>
      <c r="C6" t="str">
        <f>IF($A6&lt;&gt;"", _xlfn.IFNA(VLOOKUP(RIGHT(LEFT($A6,4),3),'District LookUp Table'!$A$2:$B$19,2,FALSE), "NOT FOUND"), "")</f>
        <v>Central &amp; Western</v>
      </c>
      <c r="D6" t="s">
        <v>290</v>
      </c>
      <c r="E6" t="s">
        <v>322</v>
      </c>
      <c r="F6" t="s">
        <v>356</v>
      </c>
      <c r="G6" t="s">
        <v>312</v>
      </c>
      <c r="H6" t="s">
        <v>357</v>
      </c>
      <c r="I6" t="s">
        <v>358</v>
      </c>
      <c r="J6" t="s">
        <v>359</v>
      </c>
      <c r="K6" t="s">
        <v>360</v>
      </c>
    </row>
    <row r="7" spans="1:11" x14ac:dyDescent="0.2">
      <c r="A7" t="s">
        <v>246</v>
      </c>
      <c r="B7" t="s">
        <v>247</v>
      </c>
      <c r="C7" t="str">
        <f>IF($A7&lt;&gt;"", _xlfn.IFNA(VLOOKUP(RIGHT(LEFT($A7,4),3),'District LookUp Table'!$A$2:$B$19,2,FALSE), "NOT FOUND"), "")</f>
        <v>Central &amp; Western</v>
      </c>
      <c r="D7" t="s">
        <v>291</v>
      </c>
      <c r="E7" t="s">
        <v>48</v>
      </c>
      <c r="F7" t="s">
        <v>61</v>
      </c>
      <c r="G7" t="s">
        <v>313</v>
      </c>
      <c r="H7" t="s">
        <v>361</v>
      </c>
      <c r="I7" t="s">
        <v>362</v>
      </c>
      <c r="J7" t="s">
        <v>363</v>
      </c>
      <c r="K7" t="s">
        <v>364</v>
      </c>
    </row>
    <row r="8" spans="1:11" x14ac:dyDescent="0.2">
      <c r="A8" t="s">
        <v>248</v>
      </c>
      <c r="B8" t="s">
        <v>251</v>
      </c>
      <c r="C8" t="str">
        <f>IF($A8&lt;&gt;"", _xlfn.IFNA(VLOOKUP(RIGHT(LEFT($A8,4),3),'District LookUp Table'!$A$2:$B$19,2,FALSE), "NOT FOUND"), "")</f>
        <v>Central &amp; Western</v>
      </c>
      <c r="D8" t="s">
        <v>292</v>
      </c>
      <c r="E8" t="s">
        <v>50</v>
      </c>
      <c r="F8" t="s">
        <v>53</v>
      </c>
      <c r="G8" t="s">
        <v>313</v>
      </c>
      <c r="H8" t="s">
        <v>357</v>
      </c>
      <c r="I8" t="s">
        <v>365</v>
      </c>
      <c r="J8" t="s">
        <v>366</v>
      </c>
      <c r="K8" t="s">
        <v>367</v>
      </c>
    </row>
    <row r="9" spans="1:11" x14ac:dyDescent="0.2">
      <c r="A9" t="s">
        <v>249</v>
      </c>
      <c r="B9" t="s">
        <v>252</v>
      </c>
      <c r="C9" t="str">
        <f>IF($A9&lt;&gt;"", _xlfn.IFNA(VLOOKUP(RIGHT(LEFT($A9,4),3),'District LookUp Table'!$A$2:$B$19,2,FALSE), "NOT FOUND"), "")</f>
        <v>Central &amp; Western</v>
      </c>
      <c r="D9" t="s">
        <v>293</v>
      </c>
      <c r="E9" t="s">
        <v>48</v>
      </c>
      <c r="F9" t="s">
        <v>58</v>
      </c>
      <c r="G9" t="s">
        <v>368</v>
      </c>
      <c r="H9" t="s">
        <v>361</v>
      </c>
      <c r="I9" t="s">
        <v>369</v>
      </c>
      <c r="J9" t="s">
        <v>370</v>
      </c>
      <c r="K9" t="s">
        <v>371</v>
      </c>
    </row>
    <row r="10" spans="1:11" x14ac:dyDescent="0.2">
      <c r="A10" t="s">
        <v>250</v>
      </c>
      <c r="B10" t="s">
        <v>253</v>
      </c>
      <c r="C10" t="str">
        <f>IF($A10&lt;&gt;"", _xlfn.IFNA(VLOOKUP(RIGHT(LEFT($A10,4),3),'District LookUp Table'!$A$2:$B$19,2,FALSE), "NOT FOUND"), "")</f>
        <v>Central &amp; Western</v>
      </c>
      <c r="D10" t="s">
        <v>294</v>
      </c>
      <c r="E10" t="s">
        <v>51</v>
      </c>
      <c r="F10" t="s">
        <v>372</v>
      </c>
      <c r="G10" t="s">
        <v>313</v>
      </c>
      <c r="H10" t="s">
        <v>373</v>
      </c>
      <c r="I10" t="s">
        <v>374</v>
      </c>
      <c r="J10" t="s">
        <v>375</v>
      </c>
      <c r="K10" t="s">
        <v>376</v>
      </c>
    </row>
    <row r="11" spans="1:11" x14ac:dyDescent="0.2">
      <c r="A11" t="s">
        <v>254</v>
      </c>
      <c r="B11" t="s">
        <v>255</v>
      </c>
      <c r="C11" t="str">
        <f>IF($A11&lt;&gt;"", _xlfn.IFNA(VLOOKUP(RIGHT(LEFT($A11,4),3),'District LookUp Table'!$A$2:$B$19,2,FALSE), "NOT FOUND"), "")</f>
        <v>Central &amp; Western</v>
      </c>
      <c r="D11" t="s">
        <v>295</v>
      </c>
      <c r="E11" t="s">
        <v>50</v>
      </c>
      <c r="F11" t="s">
        <v>323</v>
      </c>
      <c r="G11" t="s">
        <v>377</v>
      </c>
      <c r="H11" t="s">
        <v>378</v>
      </c>
      <c r="I11" t="s">
        <v>379</v>
      </c>
      <c r="J11" t="s">
        <v>380</v>
      </c>
      <c r="K11" t="s">
        <v>381</v>
      </c>
    </row>
    <row r="12" spans="1:11" x14ac:dyDescent="0.2">
      <c r="A12" t="s">
        <v>193</v>
      </c>
      <c r="B12" t="s">
        <v>258</v>
      </c>
      <c r="C12" t="str">
        <f>IF($A12&lt;&gt;"", _xlfn.IFNA(VLOOKUP(RIGHT(LEFT($A12,4),3),'District LookUp Table'!$A$2:$B$19,2,FALSE), "NOT FOUND"), "")</f>
        <v>Eastern</v>
      </c>
      <c r="D12" t="s">
        <v>304</v>
      </c>
      <c r="E12" t="s">
        <v>51</v>
      </c>
      <c r="F12" t="s">
        <v>57</v>
      </c>
      <c r="G12" t="s">
        <v>382</v>
      </c>
      <c r="H12" t="s">
        <v>361</v>
      </c>
      <c r="I12" t="s">
        <v>383</v>
      </c>
      <c r="J12" t="s">
        <v>384</v>
      </c>
      <c r="K12" t="s">
        <v>385</v>
      </c>
    </row>
    <row r="13" spans="1:11" x14ac:dyDescent="0.2">
      <c r="A13" t="s">
        <v>194</v>
      </c>
      <c r="B13" t="s">
        <v>259</v>
      </c>
      <c r="C13" t="str">
        <f>IF($A13&lt;&gt;"", _xlfn.IFNA(VLOOKUP(RIGHT(LEFT($A13,4),3),'District LookUp Table'!$A$2:$B$19,2,FALSE), "NOT FOUND"), "")</f>
        <v>Eastern</v>
      </c>
      <c r="D13" t="s">
        <v>296</v>
      </c>
      <c r="E13" t="s">
        <v>51</v>
      </c>
      <c r="F13" t="s">
        <v>61</v>
      </c>
      <c r="G13" t="s">
        <v>386</v>
      </c>
      <c r="H13" t="s">
        <v>62</v>
      </c>
      <c r="I13" t="s">
        <v>387</v>
      </c>
      <c r="J13" t="s">
        <v>388</v>
      </c>
      <c r="K13" t="s">
        <v>389</v>
      </c>
    </row>
    <row r="14" spans="1:11" x14ac:dyDescent="0.2">
      <c r="A14" t="s">
        <v>195</v>
      </c>
      <c r="B14" t="s">
        <v>260</v>
      </c>
      <c r="C14" t="str">
        <f>IF($A14&lt;&gt;"", _xlfn.IFNA(VLOOKUP(RIGHT(LEFT($A14,4),3),'District LookUp Table'!$A$2:$B$19,2,FALSE), "NOT FOUND"), "")</f>
        <v>Eastern</v>
      </c>
      <c r="D14" t="s">
        <v>297</v>
      </c>
      <c r="E14" t="s">
        <v>305</v>
      </c>
      <c r="F14" t="s">
        <v>61</v>
      </c>
      <c r="G14" t="s">
        <v>382</v>
      </c>
      <c r="H14" t="s">
        <v>361</v>
      </c>
      <c r="I14" t="s">
        <v>390</v>
      </c>
      <c r="J14" t="s">
        <v>391</v>
      </c>
      <c r="K14" t="s">
        <v>392</v>
      </c>
    </row>
    <row r="15" spans="1:11" x14ac:dyDescent="0.2">
      <c r="A15" t="s">
        <v>196</v>
      </c>
      <c r="B15" t="s">
        <v>261</v>
      </c>
      <c r="C15" t="str">
        <f>IF($A15&lt;&gt;"", _xlfn.IFNA(VLOOKUP(RIGHT(LEFT($A15,4),3),'District LookUp Table'!$A$2:$B$19,2,FALSE), "NOT FOUND"), "")</f>
        <v>Eastern</v>
      </c>
      <c r="D15" t="s">
        <v>298</v>
      </c>
      <c r="E15" t="s">
        <v>322</v>
      </c>
      <c r="F15" t="s">
        <v>53</v>
      </c>
      <c r="G15" t="s">
        <v>324</v>
      </c>
      <c r="H15" t="s">
        <v>325</v>
      </c>
      <c r="I15" t="s">
        <v>326</v>
      </c>
      <c r="J15" t="s">
        <v>327</v>
      </c>
      <c r="K15" t="s">
        <v>328</v>
      </c>
    </row>
    <row r="16" spans="1:11" x14ac:dyDescent="0.2">
      <c r="A16" t="s">
        <v>197</v>
      </c>
      <c r="C16" t="str">
        <f>IF($A16&lt;&gt;"", _xlfn.IFNA(VLOOKUP(RIGHT(LEFT($A16,4),3),'District LookUp Table'!$A$2:$B$19,2,FALSE), "NOT FOUND"), "")</f>
        <v>Eastern</v>
      </c>
    </row>
    <row r="17" spans="1:11" x14ac:dyDescent="0.2">
      <c r="A17" t="s">
        <v>232</v>
      </c>
      <c r="B17" t="s">
        <v>299</v>
      </c>
      <c r="C17" t="str">
        <f>IF($A17&lt;&gt;"", _xlfn.IFNA(VLOOKUP(RIGHT(LEFT($A17,4),3),'District LookUp Table'!$A$2:$B$19,2,FALSE), "NOT FOUND"), "")</f>
        <v>Islands</v>
      </c>
      <c r="D17" t="s">
        <v>300</v>
      </c>
      <c r="E17" t="s">
        <v>50</v>
      </c>
      <c r="F17" t="s">
        <v>323</v>
      </c>
      <c r="G17" t="s">
        <v>312</v>
      </c>
      <c r="H17" t="s">
        <v>62</v>
      </c>
      <c r="I17" t="s">
        <v>329</v>
      </c>
      <c r="J17" t="s">
        <v>330</v>
      </c>
      <c r="K17" t="s">
        <v>331</v>
      </c>
    </row>
    <row r="18" spans="1:11" x14ac:dyDescent="0.2">
      <c r="A18" t="s">
        <v>233</v>
      </c>
      <c r="B18" t="s">
        <v>262</v>
      </c>
      <c r="C18" t="str">
        <f>IF($A18&lt;&gt;"", _xlfn.IFNA(VLOOKUP(RIGHT(LEFT($A18,4),3),'District LookUp Table'!$A$2:$B$19,2,FALSE), "NOT FOUND"), "")</f>
        <v>Islands</v>
      </c>
      <c r="D18" t="s">
        <v>301</v>
      </c>
      <c r="E18" t="s">
        <v>47</v>
      </c>
      <c r="F18" t="s">
        <v>332</v>
      </c>
      <c r="G18" t="s">
        <v>312</v>
      </c>
      <c r="H18" t="s">
        <v>62</v>
      </c>
      <c r="I18" t="s">
        <v>333</v>
      </c>
      <c r="J18" t="s">
        <v>334</v>
      </c>
      <c r="K18" t="s">
        <v>335</v>
      </c>
    </row>
    <row r="19" spans="1:11" x14ac:dyDescent="0.2">
      <c r="A19" t="s">
        <v>234</v>
      </c>
      <c r="B19" t="s">
        <v>263</v>
      </c>
      <c r="C19" t="str">
        <f>IF($A19&lt;&gt;"", _xlfn.IFNA(VLOOKUP(RIGHT(LEFT($A19,4),3),'District LookUp Table'!$A$2:$B$19,2,FALSE), "NOT FOUND"), "")</f>
        <v>Islands</v>
      </c>
      <c r="D19" t="s">
        <v>302</v>
      </c>
      <c r="E19" t="s">
        <v>305</v>
      </c>
      <c r="F19" t="s">
        <v>61</v>
      </c>
      <c r="G19" t="s">
        <v>313</v>
      </c>
      <c r="H19" t="s">
        <v>62</v>
      </c>
      <c r="I19" t="s">
        <v>336</v>
      </c>
      <c r="J19" t="s">
        <v>337</v>
      </c>
      <c r="K19" t="s">
        <v>338</v>
      </c>
    </row>
    <row r="20" spans="1:11" x14ac:dyDescent="0.2">
      <c r="A20" t="s">
        <v>235</v>
      </c>
      <c r="C20" t="str">
        <f>IF($A20&lt;&gt;"", _xlfn.IFNA(VLOOKUP(RIGHT(LEFT($A20,4),3),'District LookUp Table'!$A$2:$B$19,2,FALSE), "NOT FOUND"), "")</f>
        <v>Islands</v>
      </c>
    </row>
    <row r="21" spans="1:11" x14ac:dyDescent="0.2">
      <c r="A21" t="s">
        <v>236</v>
      </c>
      <c r="C21" t="str">
        <f>IF($A21&lt;&gt;"", _xlfn.IFNA(VLOOKUP(RIGHT(LEFT($A21,4),3),'District LookUp Table'!$A$2:$B$19,2,FALSE), "NOT FOUND"), "")</f>
        <v>Islands</v>
      </c>
    </row>
    <row r="22" spans="1:11" x14ac:dyDescent="0.2">
      <c r="A22" t="s">
        <v>198</v>
      </c>
      <c r="B22" t="s">
        <v>264</v>
      </c>
      <c r="C22" t="str">
        <f>IF($A22&lt;&gt;"", _xlfn.IFNA(VLOOKUP(RIGHT(LEFT($A22,4),3),'District LookUp Table'!$A$2:$B$19,2,FALSE), "NOT FOUND"), "")</f>
        <v>Kowloon City</v>
      </c>
      <c r="D22" t="s">
        <v>303</v>
      </c>
      <c r="E22" t="s">
        <v>322</v>
      </c>
      <c r="F22" t="s">
        <v>393</v>
      </c>
      <c r="G22" t="s">
        <v>312</v>
      </c>
      <c r="H22" t="s">
        <v>357</v>
      </c>
      <c r="I22" t="s">
        <v>394</v>
      </c>
      <c r="J22" t="s">
        <v>395</v>
      </c>
      <c r="K22" t="s">
        <v>396</v>
      </c>
    </row>
    <row r="23" spans="1:11" x14ac:dyDescent="0.2">
      <c r="A23" t="s">
        <v>199</v>
      </c>
      <c r="B23" t="s">
        <v>265</v>
      </c>
      <c r="C23" t="str">
        <f>IF($A23&lt;&gt;"", _xlfn.IFNA(VLOOKUP(RIGHT(LEFT($A23,4),3),'District LookUp Table'!$A$2:$B$19,2,FALSE), "NOT FOUND"), "")</f>
        <v>Kowloon City</v>
      </c>
      <c r="E23" t="s">
        <v>48</v>
      </c>
      <c r="F23" t="s">
        <v>397</v>
      </c>
      <c r="G23" t="s">
        <v>312</v>
      </c>
      <c r="H23" t="s">
        <v>398</v>
      </c>
      <c r="I23" t="s">
        <v>399</v>
      </c>
      <c r="J23" t="s">
        <v>400</v>
      </c>
      <c r="K23" t="s">
        <v>401</v>
      </c>
    </row>
    <row r="24" spans="1:11" x14ac:dyDescent="0.2">
      <c r="A24" t="s">
        <v>200</v>
      </c>
      <c r="B24" t="s">
        <v>266</v>
      </c>
      <c r="C24" t="str">
        <f>IF($A24&lt;&gt;"", _xlfn.IFNA(VLOOKUP(RIGHT(LEFT($A24,4),3),'District LookUp Table'!$A$2:$B$19,2,FALSE), "NOT FOUND"), "")</f>
        <v>Kowloon City</v>
      </c>
      <c r="E24" t="s">
        <v>50</v>
      </c>
      <c r="F24" t="s">
        <v>342</v>
      </c>
      <c r="G24" t="s">
        <v>312</v>
      </c>
      <c r="H24" t="s">
        <v>402</v>
      </c>
      <c r="I24" t="s">
        <v>403</v>
      </c>
      <c r="J24" t="s">
        <v>404</v>
      </c>
      <c r="K24" t="s">
        <v>405</v>
      </c>
    </row>
    <row r="25" spans="1:11" x14ac:dyDescent="0.2">
      <c r="A25" t="s">
        <v>201</v>
      </c>
      <c r="C25" t="str">
        <f>IF($A25&lt;&gt;"", _xlfn.IFNA(VLOOKUP(RIGHT(LEFT($A25,4),3),'District LookUp Table'!$A$2:$B$19,2,FALSE), "NOT FOUND"), "")</f>
        <v>Kowloon City</v>
      </c>
    </row>
    <row r="26" spans="1:11" x14ac:dyDescent="0.2">
      <c r="A26" t="s">
        <v>202</v>
      </c>
      <c r="C26" t="str">
        <f>IF($A26&lt;&gt;"", _xlfn.IFNA(VLOOKUP(RIGHT(LEFT($A26,4),3),'District LookUp Table'!$A$2:$B$19,2,FALSE), "NOT FOUND"), "")</f>
        <v>Kowloon City</v>
      </c>
    </row>
    <row r="27" spans="1:11" x14ac:dyDescent="0.2">
      <c r="A27" t="s">
        <v>203</v>
      </c>
      <c r="B27" t="s">
        <v>267</v>
      </c>
      <c r="C27" t="str">
        <f>IF($A27&lt;&gt;"", _xlfn.IFNA(VLOOKUP(RIGHT(LEFT($A27,4),3),'District LookUp Table'!$A$2:$B$19,2,FALSE), "NOT FOUND"), "")</f>
        <v>Kwun Tong</v>
      </c>
      <c r="E27" t="s">
        <v>322</v>
      </c>
      <c r="F27" t="s">
        <v>323</v>
      </c>
      <c r="G27" t="s">
        <v>312</v>
      </c>
      <c r="H27" t="s">
        <v>406</v>
      </c>
      <c r="I27" t="s">
        <v>407</v>
      </c>
      <c r="J27" t="s">
        <v>408</v>
      </c>
      <c r="K27" t="s">
        <v>409</v>
      </c>
    </row>
    <row r="28" spans="1:11" x14ac:dyDescent="0.2">
      <c r="A28" t="s">
        <v>204</v>
      </c>
      <c r="B28" t="s">
        <v>268</v>
      </c>
      <c r="C28" t="str">
        <f>IF($A28&lt;&gt;"", _xlfn.IFNA(VLOOKUP(RIGHT(LEFT($A28,4),3),'District LookUp Table'!$A$2:$B$19,2,FALSE), "NOT FOUND"), "")</f>
        <v>Kwun Tong</v>
      </c>
      <c r="E28" t="s">
        <v>50</v>
      </c>
      <c r="F28" t="s">
        <v>323</v>
      </c>
      <c r="G28" t="s">
        <v>312</v>
      </c>
      <c r="H28" t="s">
        <v>402</v>
      </c>
      <c r="I28" t="s">
        <v>410</v>
      </c>
      <c r="J28" t="s">
        <v>411</v>
      </c>
      <c r="K28" t="s">
        <v>412</v>
      </c>
    </row>
    <row r="29" spans="1:11" x14ac:dyDescent="0.2">
      <c r="A29" t="s">
        <v>205</v>
      </c>
      <c r="C29" t="str">
        <f>IF($A29&lt;&gt;"", _xlfn.IFNA(VLOOKUP(RIGHT(LEFT($A29,4),3),'District LookUp Table'!$A$2:$B$19,2,FALSE), "NOT FOUND"), "")</f>
        <v>Kwun Tong</v>
      </c>
    </row>
    <row r="30" spans="1:11" x14ac:dyDescent="0.2">
      <c r="A30" t="s">
        <v>206</v>
      </c>
      <c r="C30" t="str">
        <f>IF($A30&lt;&gt;"", _xlfn.IFNA(VLOOKUP(RIGHT(LEFT($A30,4),3),'District LookUp Table'!$A$2:$B$19,2,FALSE), "NOT FOUND"), "")</f>
        <v>Kwun Tong</v>
      </c>
    </row>
    <row r="31" spans="1:11" x14ac:dyDescent="0.2">
      <c r="A31" t="s">
        <v>207</v>
      </c>
      <c r="C31" t="str">
        <f>IF($A31&lt;&gt;"", _xlfn.IFNA(VLOOKUP(RIGHT(LEFT($A31,4),3),'District LookUp Table'!$A$2:$B$19,2,FALSE), "NOT FOUND"), "")</f>
        <v>Kwun Tong</v>
      </c>
    </row>
    <row r="32" spans="1:11" x14ac:dyDescent="0.2">
      <c r="A32" t="s">
        <v>237</v>
      </c>
      <c r="B32" t="s">
        <v>269</v>
      </c>
      <c r="C32" t="str">
        <f>IF($A32&lt;&gt;"", _xlfn.IFNA(VLOOKUP(RIGHT(LEFT($A32,4),3),'District LookUp Table'!$A$2:$B$19,2,FALSE), "NOT FOUND"), "")</f>
        <v>Kwai Tsing</v>
      </c>
      <c r="E32" t="s">
        <v>322</v>
      </c>
      <c r="F32" t="s">
        <v>397</v>
      </c>
      <c r="G32" t="s">
        <v>312</v>
      </c>
      <c r="H32" t="s">
        <v>402</v>
      </c>
      <c r="I32" t="s">
        <v>414</v>
      </c>
      <c r="J32" t="s">
        <v>415</v>
      </c>
      <c r="K32" t="s">
        <v>416</v>
      </c>
    </row>
    <row r="33" spans="1:11" x14ac:dyDescent="0.2">
      <c r="A33" t="s">
        <v>238</v>
      </c>
      <c r="B33" t="s">
        <v>413</v>
      </c>
      <c r="C33" t="str">
        <f>IF($A33&lt;&gt;"", _xlfn.IFNA(VLOOKUP(RIGHT(LEFT($A33,4),3),'District LookUp Table'!$A$2:$B$19,2,FALSE), "NOT FOUND"), "")</f>
        <v>Kwai Tsing</v>
      </c>
      <c r="E33" t="s">
        <v>305</v>
      </c>
      <c r="F33" t="s">
        <v>417</v>
      </c>
      <c r="G33" t="s">
        <v>313</v>
      </c>
      <c r="H33" t="s">
        <v>418</v>
      </c>
      <c r="I33" t="s">
        <v>419</v>
      </c>
      <c r="J33" t="s">
        <v>420</v>
      </c>
      <c r="K33" t="s">
        <v>421</v>
      </c>
    </row>
    <row r="34" spans="1:11" x14ac:dyDescent="0.2">
      <c r="A34" t="s">
        <v>239</v>
      </c>
      <c r="C34" t="str">
        <f>IF($A34&lt;&gt;"", _xlfn.IFNA(VLOOKUP(RIGHT(LEFT($A34,4),3),'District LookUp Table'!$A$2:$B$19,2,FALSE), "NOT FOUND"), "")</f>
        <v>Kwai Tsing</v>
      </c>
    </row>
    <row r="35" spans="1:11" x14ac:dyDescent="0.2">
      <c r="A35" t="s">
        <v>240</v>
      </c>
      <c r="C35" t="str">
        <f>IF($A35&lt;&gt;"", _xlfn.IFNA(VLOOKUP(RIGHT(LEFT($A35,4),3),'District LookUp Table'!$A$2:$B$19,2,FALSE), "NOT FOUND"), "")</f>
        <v>Kwai Tsing</v>
      </c>
    </row>
    <row r="36" spans="1:11" x14ac:dyDescent="0.2">
      <c r="A36" t="s">
        <v>241</v>
      </c>
      <c r="C36" t="str">
        <f>IF($A36&lt;&gt;"", _xlfn.IFNA(VLOOKUP(RIGHT(LEFT($A36,4),3),'District LookUp Table'!$A$2:$B$19,2,FALSE), "NOT FOUND"), "")</f>
        <v>Kwai Tsing</v>
      </c>
    </row>
    <row r="37" spans="1:11" x14ac:dyDescent="0.2">
      <c r="A37" t="s">
        <v>227</v>
      </c>
      <c r="B37" t="s">
        <v>270</v>
      </c>
      <c r="C37" t="str">
        <f>IF($A37&lt;&gt;"", _xlfn.IFNA(VLOOKUP(RIGHT(LEFT($A37,4),3),'District LookUp Table'!$A$2:$B$19,2,FALSE), "NOT FOUND"), "")</f>
        <v>North</v>
      </c>
      <c r="E37" t="s">
        <v>322</v>
      </c>
      <c r="F37" t="s">
        <v>356</v>
      </c>
      <c r="G37" t="s">
        <v>312</v>
      </c>
      <c r="H37" t="s">
        <v>357</v>
      </c>
      <c r="I37" t="s">
        <v>422</v>
      </c>
      <c r="J37" s="2" t="s">
        <v>423</v>
      </c>
      <c r="K37" t="s">
        <v>424</v>
      </c>
    </row>
    <row r="38" spans="1:11" x14ac:dyDescent="0.2">
      <c r="A38" t="s">
        <v>228</v>
      </c>
      <c r="B38" t="s">
        <v>271</v>
      </c>
      <c r="C38" t="str">
        <f>IF($A38&lt;&gt;"", _xlfn.IFNA(VLOOKUP(RIGHT(LEFT($A38,4),3),'District LookUp Table'!$A$2:$B$19,2,FALSE), "NOT FOUND"), "")</f>
        <v>North</v>
      </c>
    </row>
    <row r="39" spans="1:11" x14ac:dyDescent="0.2">
      <c r="A39" t="s">
        <v>229</v>
      </c>
      <c r="C39" t="str">
        <f>IF($A39&lt;&gt;"", _xlfn.IFNA(VLOOKUP(RIGHT(LEFT($A39,4),3),'District LookUp Table'!$A$2:$B$19,2,FALSE), "NOT FOUND"), "")</f>
        <v>North</v>
      </c>
    </row>
    <row r="40" spans="1:11" x14ac:dyDescent="0.2">
      <c r="A40" t="s">
        <v>230</v>
      </c>
      <c r="C40" t="str">
        <f>IF($A40&lt;&gt;"", _xlfn.IFNA(VLOOKUP(RIGHT(LEFT($A40,4),3),'District LookUp Table'!$A$2:$B$19,2,FALSE), "NOT FOUND"), "")</f>
        <v>North</v>
      </c>
    </row>
    <row r="41" spans="1:11" x14ac:dyDescent="0.2">
      <c r="A41" t="s">
        <v>231</v>
      </c>
      <c r="C41" t="str">
        <f>IF($A41&lt;&gt;"", _xlfn.IFNA(VLOOKUP(RIGHT(LEFT($A41,4),3),'District LookUp Table'!$A$2:$B$19,2,FALSE), "NOT FOUND"), "")</f>
        <v>North</v>
      </c>
    </row>
    <row r="42" spans="1:11" x14ac:dyDescent="0.2">
      <c r="A42" t="s">
        <v>107</v>
      </c>
      <c r="B42" t="s">
        <v>108</v>
      </c>
      <c r="C42" t="str">
        <f>IF($A42&lt;&gt;"", _xlfn.IFNA(VLOOKUP(RIGHT(LEFT($A42,4),3),'District LookUp Table'!$A$2:$B$19,2,FALSE), "NOT FOUND"), "")</f>
        <v>Sai Kung</v>
      </c>
    </row>
    <row r="43" spans="1:11" x14ac:dyDescent="0.2">
      <c r="A43" t="s">
        <v>208</v>
      </c>
      <c r="B43" t="s">
        <v>272</v>
      </c>
      <c r="C43" t="str">
        <f>IF($A43&lt;&gt;"", _xlfn.IFNA(VLOOKUP(RIGHT(LEFT($A43,4),3),'District LookUp Table'!$A$2:$B$19,2,FALSE), "NOT FOUND"), "")</f>
        <v>Sai Kung</v>
      </c>
    </row>
    <row r="44" spans="1:11" x14ac:dyDescent="0.2">
      <c r="A44" t="s">
        <v>209</v>
      </c>
      <c r="B44" t="s">
        <v>273</v>
      </c>
      <c r="C44" t="str">
        <f>IF($A44&lt;&gt;"", _xlfn.IFNA(VLOOKUP(RIGHT(LEFT($A44,4),3),'District LookUp Table'!$A$2:$B$19,2,FALSE), "NOT FOUND"), "")</f>
        <v>Sai Kung</v>
      </c>
      <c r="E44" t="s">
        <v>322</v>
      </c>
      <c r="F44" t="s">
        <v>356</v>
      </c>
      <c r="G44" t="s">
        <v>312</v>
      </c>
      <c r="H44" t="s">
        <v>398</v>
      </c>
      <c r="I44" t="s">
        <v>425</v>
      </c>
      <c r="J44" t="s">
        <v>426</v>
      </c>
      <c r="K44" t="s">
        <v>427</v>
      </c>
    </row>
    <row r="45" spans="1:11" x14ac:dyDescent="0.2">
      <c r="A45" t="s">
        <v>210</v>
      </c>
      <c r="B45" t="s">
        <v>274</v>
      </c>
      <c r="C45" t="str">
        <f>IF($A45&lt;&gt;"", _xlfn.IFNA(VLOOKUP(RIGHT(LEFT($A45,4),3),'District LookUp Table'!$A$2:$B$19,2,FALSE), "NOT FOUND"), "")</f>
        <v>Sai Kung</v>
      </c>
    </row>
    <row r="46" spans="1:11" x14ac:dyDescent="0.2">
      <c r="A46" t="s">
        <v>211</v>
      </c>
      <c r="C46" t="str">
        <f>IF($A46&lt;&gt;"", _xlfn.IFNA(VLOOKUP(RIGHT(LEFT($A46,4),3),'District LookUp Table'!$A$2:$B$19,2,FALSE), "NOT FOUND"), "")</f>
        <v>Sai Kung</v>
      </c>
    </row>
    <row r="47" spans="1:11" x14ac:dyDescent="0.2">
      <c r="A47" t="s">
        <v>183</v>
      </c>
      <c r="B47" t="s">
        <v>256</v>
      </c>
      <c r="C47" t="str">
        <f>IF($A47&lt;&gt;"", _xlfn.IFNA(VLOOKUP(RIGHT(LEFT($A47,4),3),'District LookUp Table'!$A$2:$B$19,2,FALSE), "NOT FOUND"), "")</f>
        <v>Southern</v>
      </c>
      <c r="E47" t="s">
        <v>322</v>
      </c>
      <c r="F47" t="s">
        <v>428</v>
      </c>
      <c r="G47" t="s">
        <v>324</v>
      </c>
      <c r="H47" t="s">
        <v>357</v>
      </c>
      <c r="I47" t="s">
        <v>429</v>
      </c>
      <c r="J47" t="s">
        <v>430</v>
      </c>
      <c r="K47" t="s">
        <v>431</v>
      </c>
    </row>
    <row r="48" spans="1:11" x14ac:dyDescent="0.2">
      <c r="A48" t="s">
        <v>184</v>
      </c>
      <c r="B48" t="s">
        <v>257</v>
      </c>
      <c r="C48" t="str">
        <f>IF($A48&lt;&gt;"", _xlfn.IFNA(VLOOKUP(RIGHT(LEFT($A48,4),3),'District LookUp Table'!$A$2:$B$19,2,FALSE), "NOT FOUND"), "")</f>
        <v>Southern</v>
      </c>
      <c r="E48" t="s">
        <v>322</v>
      </c>
      <c r="F48" t="s">
        <v>432</v>
      </c>
      <c r="G48" t="s">
        <v>433</v>
      </c>
      <c r="H48" t="s">
        <v>402</v>
      </c>
      <c r="I48" t="s">
        <v>434</v>
      </c>
      <c r="J48" t="s">
        <v>435</v>
      </c>
      <c r="K48" t="s">
        <v>436</v>
      </c>
    </row>
    <row r="49" spans="1:5" x14ac:dyDescent="0.2">
      <c r="A49" t="s">
        <v>185</v>
      </c>
      <c r="B49" t="s">
        <v>275</v>
      </c>
      <c r="C49" t="str">
        <f>IF($A49&lt;&gt;"", _xlfn.IFNA(VLOOKUP(RIGHT(LEFT($A49,4),3),'District LookUp Table'!$A$2:$B$19,2,FALSE), "NOT FOUND"), "")</f>
        <v>Southern</v>
      </c>
    </row>
    <row r="50" spans="1:5" x14ac:dyDescent="0.2">
      <c r="A50" t="s">
        <v>186</v>
      </c>
      <c r="B50" t="s">
        <v>276</v>
      </c>
      <c r="C50" t="str">
        <f>IF($A50&lt;&gt;"", _xlfn.IFNA(VLOOKUP(RIGHT(LEFT($A50,4),3),'District LookUp Table'!$A$2:$B$19,2,FALSE), "NOT FOUND"), "")</f>
        <v>Southern</v>
      </c>
    </row>
    <row r="51" spans="1:5" x14ac:dyDescent="0.2">
      <c r="A51" t="s">
        <v>187</v>
      </c>
      <c r="B51" t="s">
        <v>277</v>
      </c>
      <c r="C51" t="str">
        <f>IF($A51&lt;&gt;"", _xlfn.IFNA(VLOOKUP(RIGHT(LEFT($A51,4),3),'District LookUp Table'!$A$2:$B$19,2,FALSE), "NOT FOUND"), "")</f>
        <v>Southern</v>
      </c>
    </row>
    <row r="52" spans="1:5" x14ac:dyDescent="0.2">
      <c r="A52" t="s">
        <v>168</v>
      </c>
      <c r="B52" t="s">
        <v>278</v>
      </c>
      <c r="C52" t="str">
        <f>IF($A52&lt;&gt;"", _xlfn.IFNA(VLOOKUP(RIGHT(LEFT($A52,4),3),'District LookUp Table'!$A$2:$B$19,2,FALSE), "NOT FOUND"), "")</f>
        <v>Sham Shui Po</v>
      </c>
    </row>
    <row r="53" spans="1:5" x14ac:dyDescent="0.2">
      <c r="A53" t="s">
        <v>169</v>
      </c>
      <c r="B53" t="s">
        <v>279</v>
      </c>
      <c r="C53" t="str">
        <f>IF($A53&lt;&gt;"", _xlfn.IFNA(VLOOKUP(RIGHT(LEFT($A53,4),3),'District LookUp Table'!$A$2:$B$19,2,FALSE), "NOT FOUND"), "")</f>
        <v>Sham Shui Po</v>
      </c>
    </row>
    <row r="54" spans="1:5" x14ac:dyDescent="0.2">
      <c r="A54" t="s">
        <v>170</v>
      </c>
      <c r="C54" t="str">
        <f>IF($A54&lt;&gt;"", _xlfn.IFNA(VLOOKUP(RIGHT(LEFT($A54,4),3),'District LookUp Table'!$A$2:$B$19,2,FALSE), "NOT FOUND"), "")</f>
        <v>Sham Shui Po</v>
      </c>
    </row>
    <row r="55" spans="1:5" x14ac:dyDescent="0.2">
      <c r="A55" t="s">
        <v>171</v>
      </c>
      <c r="C55" t="str">
        <f>IF($A55&lt;&gt;"", _xlfn.IFNA(VLOOKUP(RIGHT(LEFT($A55,4),3),'District LookUp Table'!$A$2:$B$19,2,FALSE), "NOT FOUND"), "")</f>
        <v>Sham Shui Po</v>
      </c>
    </row>
    <row r="56" spans="1:5" x14ac:dyDescent="0.2">
      <c r="A56" t="s">
        <v>172</v>
      </c>
      <c r="C56" t="str">
        <f>IF($A56&lt;&gt;"", _xlfn.IFNA(VLOOKUP(RIGHT(LEFT($A56,4),3),'District LookUp Table'!$A$2:$B$19,2,FALSE), "NOT FOUND"), "")</f>
        <v>Sham Shui Po</v>
      </c>
    </row>
    <row r="57" spans="1:5" x14ac:dyDescent="0.2">
      <c r="A57" t="s">
        <v>212</v>
      </c>
      <c r="B57" t="s">
        <v>280</v>
      </c>
      <c r="C57" t="str">
        <f>IF($A57&lt;&gt;"", _xlfn.IFNA(VLOOKUP(RIGHT(LEFT($A57,4),3),'District LookUp Table'!$A$2:$B$19,2,FALSE), "NOT FOUND"), "")</f>
        <v>Sha Tin</v>
      </c>
    </row>
    <row r="58" spans="1:5" x14ac:dyDescent="0.2">
      <c r="A58" t="s">
        <v>213</v>
      </c>
      <c r="B58" t="s">
        <v>281</v>
      </c>
      <c r="C58" t="str">
        <f>IF($A58&lt;&gt;"", _xlfn.IFNA(VLOOKUP(RIGHT(LEFT($A58,4),3),'District LookUp Table'!$A$2:$B$19,2,FALSE), "NOT FOUND"), "")</f>
        <v>Sha Tin</v>
      </c>
    </row>
    <row r="59" spans="1:5" x14ac:dyDescent="0.2">
      <c r="A59" t="s">
        <v>214</v>
      </c>
      <c r="B59" t="s">
        <v>282</v>
      </c>
      <c r="C59" t="str">
        <f>IF($A59&lt;&gt;"", _xlfn.IFNA(VLOOKUP(RIGHT(LEFT($A59,4),3),'District LookUp Table'!$A$2:$B$19,2,FALSE), "NOT FOUND"), "")</f>
        <v>Sha Tin</v>
      </c>
    </row>
    <row r="60" spans="1:5" x14ac:dyDescent="0.2">
      <c r="A60" t="s">
        <v>215</v>
      </c>
      <c r="B60" t="s">
        <v>283</v>
      </c>
      <c r="C60" t="str">
        <f>IF($A60&lt;&gt;"", _xlfn.IFNA(VLOOKUP(RIGHT(LEFT($A60,4),3),'District LookUp Table'!$A$2:$B$19,2,FALSE), "NOT FOUND"), "")</f>
        <v>Sha Tin</v>
      </c>
    </row>
    <row r="61" spans="1:5" x14ac:dyDescent="0.2">
      <c r="A61" t="s">
        <v>216</v>
      </c>
      <c r="B61" t="s">
        <v>284</v>
      </c>
      <c r="C61" t="str">
        <f>IF($A61&lt;&gt;"", _xlfn.IFNA(VLOOKUP(RIGHT(LEFT($A61,4),3),'District LookUp Table'!$A$2:$B$19,2,FALSE), "NOT FOUND"), "")</f>
        <v>Sha Tin</v>
      </c>
    </row>
    <row r="62" spans="1:5" x14ac:dyDescent="0.2">
      <c r="A62" t="s">
        <v>42</v>
      </c>
      <c r="B62" t="s">
        <v>96</v>
      </c>
      <c r="C62" t="str">
        <f>IF($A62&lt;&gt;"", _xlfn.IFNA(VLOOKUP(RIGHT(LEFT($A62,4),3),'District LookUp Table'!$A$2:$B$19,2,FALSE), "NOT FOUND"), "")</f>
        <v>Tuen Mun</v>
      </c>
      <c r="D62" t="s">
        <v>97</v>
      </c>
      <c r="E62" t="s">
        <v>47</v>
      </c>
    </row>
    <row r="63" spans="1:5" x14ac:dyDescent="0.2">
      <c r="A63" t="s">
        <v>98</v>
      </c>
      <c r="B63" t="s">
        <v>99</v>
      </c>
      <c r="C63" t="str">
        <f>IF($A63&lt;&gt;"", _xlfn.IFNA(VLOOKUP(RIGHT(LEFT($A63,4),3),'District LookUp Table'!$A$2:$B$19,2,FALSE), "NOT FOUND"), "")</f>
        <v>Tuen Mun</v>
      </c>
      <c r="D63" t="s">
        <v>100</v>
      </c>
      <c r="E63" t="s">
        <v>51</v>
      </c>
    </row>
    <row r="64" spans="1:5" x14ac:dyDescent="0.2">
      <c r="A64" t="s">
        <v>101</v>
      </c>
      <c r="B64" t="s">
        <v>103</v>
      </c>
      <c r="C64" t="str">
        <f>IF($A64&lt;&gt;"", _xlfn.IFNA(VLOOKUP(RIGHT(LEFT($A64,4),3),'District LookUp Table'!$A$2:$B$19,2,FALSE), "NOT FOUND"), "")</f>
        <v>Tuen Mun</v>
      </c>
      <c r="D64" t="s">
        <v>102</v>
      </c>
      <c r="E64" t="s">
        <v>50</v>
      </c>
    </row>
    <row r="65" spans="1:8" x14ac:dyDescent="0.2">
      <c r="A65" t="s">
        <v>104</v>
      </c>
      <c r="B65" t="s">
        <v>106</v>
      </c>
      <c r="C65" t="str">
        <f>IF($A65&lt;&gt;"", _xlfn.IFNA(VLOOKUP(RIGHT(LEFT($A65,4),3),'District LookUp Table'!$A$2:$B$19,2,FALSE), "NOT FOUND"), "")</f>
        <v>Tuen Mun</v>
      </c>
      <c r="D65" t="s">
        <v>105</v>
      </c>
      <c r="E65" t="s">
        <v>47</v>
      </c>
      <c r="H65" t="s">
        <v>84</v>
      </c>
    </row>
    <row r="66" spans="1:8" x14ac:dyDescent="0.2">
      <c r="A66" t="s">
        <v>162</v>
      </c>
      <c r="C66" t="str">
        <f>IF($A66&lt;&gt;"", _xlfn.IFNA(VLOOKUP(RIGHT(LEFT($A66,4),3),'District LookUp Table'!$A$2:$B$19,2,FALSE), "NOT FOUND"), "")</f>
        <v>Tuen Mun</v>
      </c>
    </row>
    <row r="67" spans="1:8" x14ac:dyDescent="0.2">
      <c r="A67" t="s">
        <v>109</v>
      </c>
      <c r="B67" t="s">
        <v>110</v>
      </c>
      <c r="C67" t="str">
        <f>IF($A67&lt;&gt;"", _xlfn.IFNA(VLOOKUP(RIGHT(LEFT($A67,4),3),'District LookUp Table'!$A$2:$B$19,2,FALSE), "NOT FOUND"), "")</f>
        <v>Tai Po</v>
      </c>
    </row>
    <row r="68" spans="1:8" x14ac:dyDescent="0.2">
      <c r="A68" t="s">
        <v>111</v>
      </c>
      <c r="B68" t="s">
        <v>112</v>
      </c>
      <c r="C68" t="str">
        <f>IF($A68&lt;&gt;"", _xlfn.IFNA(VLOOKUP(RIGHT(LEFT($A68,4),3),'District LookUp Table'!$A$2:$B$19,2,FALSE), "NOT FOUND"), "")</f>
        <v>Tai Po</v>
      </c>
    </row>
    <row r="69" spans="1:8" x14ac:dyDescent="0.2">
      <c r="A69" t="s">
        <v>217</v>
      </c>
      <c r="C69" t="str">
        <f>IF($A69&lt;&gt;"", _xlfn.IFNA(VLOOKUP(RIGHT(LEFT($A69,4),3),'District LookUp Table'!$A$2:$B$19,2,FALSE), "NOT FOUND"), "")</f>
        <v>Tai Po</v>
      </c>
    </row>
    <row r="70" spans="1:8" x14ac:dyDescent="0.2">
      <c r="A70" t="s">
        <v>218</v>
      </c>
      <c r="C70" t="str">
        <f>IF($A70&lt;&gt;"", _xlfn.IFNA(VLOOKUP(RIGHT(LEFT($A70,4),3),'District LookUp Table'!$A$2:$B$19,2,FALSE), "NOT FOUND"), "")</f>
        <v>Tai Po</v>
      </c>
    </row>
    <row r="71" spans="1:8" x14ac:dyDescent="0.2">
      <c r="A71" t="s">
        <v>219</v>
      </c>
      <c r="C71" t="str">
        <f>IF($A71&lt;&gt;"", _xlfn.IFNA(VLOOKUP(RIGHT(LEFT($A71,4),3),'District LookUp Table'!$A$2:$B$19,2,FALSE), "NOT FOUND"), "")</f>
        <v>Tai Po</v>
      </c>
    </row>
    <row r="72" spans="1:8" x14ac:dyDescent="0.2">
      <c r="A72" t="s">
        <v>163</v>
      </c>
      <c r="C72" t="str">
        <f>IF($A72&lt;&gt;"", _xlfn.IFNA(VLOOKUP(RIGHT(LEFT($A72,4),3),'District LookUp Table'!$A$2:$B$19,2,FALSE), "NOT FOUND"), "")</f>
        <v>Tsuen Wan</v>
      </c>
    </row>
    <row r="73" spans="1:8" x14ac:dyDescent="0.2">
      <c r="A73" t="s">
        <v>164</v>
      </c>
      <c r="C73" t="str">
        <f>IF($A73&lt;&gt;"", _xlfn.IFNA(VLOOKUP(RIGHT(LEFT($A73,4),3),'District LookUp Table'!$A$2:$B$19,2,FALSE), "NOT FOUND"), "")</f>
        <v>Tsuen Wan</v>
      </c>
    </row>
    <row r="74" spans="1:8" x14ac:dyDescent="0.2">
      <c r="A74" t="s">
        <v>165</v>
      </c>
      <c r="C74" t="str">
        <f>IF($A74&lt;&gt;"", _xlfn.IFNA(VLOOKUP(RIGHT(LEFT($A74,4),3),'District LookUp Table'!$A$2:$B$19,2,FALSE), "NOT FOUND"), "")</f>
        <v>Tsuen Wan</v>
      </c>
    </row>
    <row r="75" spans="1:8" x14ac:dyDescent="0.2">
      <c r="A75" t="s">
        <v>166</v>
      </c>
      <c r="C75" t="str">
        <f>IF($A75&lt;&gt;"", _xlfn.IFNA(VLOOKUP(RIGHT(LEFT($A75,4),3),'District LookUp Table'!$A$2:$B$19,2,FALSE), "NOT FOUND"), "")</f>
        <v>Tsuen Wan</v>
      </c>
    </row>
    <row r="76" spans="1:8" x14ac:dyDescent="0.2">
      <c r="A76" t="s">
        <v>167</v>
      </c>
      <c r="C76" t="str">
        <f>IF($A76&lt;&gt;"", _xlfn.IFNA(VLOOKUP(RIGHT(LEFT($A76,4),3),'District LookUp Table'!$A$2:$B$19,2,FALSE), "NOT FOUND"), "")</f>
        <v>Tsuen Wan</v>
      </c>
    </row>
    <row r="77" spans="1:8" x14ac:dyDescent="0.2">
      <c r="A77" t="s">
        <v>188</v>
      </c>
      <c r="C77" t="str">
        <f>IF($A77&lt;&gt;"", _xlfn.IFNA(VLOOKUP(RIGHT(LEFT($A77,4),3),'District LookUp Table'!$A$2:$B$19,2,FALSE), "NOT FOUND"), "")</f>
        <v>Wan Chai</v>
      </c>
    </row>
    <row r="78" spans="1:8" x14ac:dyDescent="0.2">
      <c r="A78" t="s">
        <v>189</v>
      </c>
      <c r="C78" t="str">
        <f>IF($A78&lt;&gt;"", _xlfn.IFNA(VLOOKUP(RIGHT(LEFT($A78,4),3),'District LookUp Table'!$A$2:$B$19,2,FALSE), "NOT FOUND"), "")</f>
        <v>Wan Chai</v>
      </c>
    </row>
    <row r="79" spans="1:8" x14ac:dyDescent="0.2">
      <c r="A79" t="s">
        <v>190</v>
      </c>
      <c r="C79" t="str">
        <f>IF($A79&lt;&gt;"", _xlfn.IFNA(VLOOKUP(RIGHT(LEFT($A79,4),3),'District LookUp Table'!$A$2:$B$19,2,FALSE), "NOT FOUND"), "")</f>
        <v>Wan Chai</v>
      </c>
    </row>
    <row r="80" spans="1:8" x14ac:dyDescent="0.2">
      <c r="A80" t="s">
        <v>191</v>
      </c>
      <c r="C80" t="str">
        <f>IF($A80&lt;&gt;"", _xlfn.IFNA(VLOOKUP(RIGHT(LEFT($A80,4),3),'District LookUp Table'!$A$2:$B$19,2,FALSE), "NOT FOUND"), "")</f>
        <v>Wan Chai</v>
      </c>
    </row>
    <row r="81" spans="1:11" x14ac:dyDescent="0.2">
      <c r="A81" t="s">
        <v>192</v>
      </c>
      <c r="C81" t="str">
        <f>IF($A81&lt;&gt;"", _xlfn.IFNA(VLOOKUP(RIGHT(LEFT($A81,4),3),'District LookUp Table'!$A$2:$B$19,2,FALSE), "NOT FOUND"), "")</f>
        <v>Wan Chai</v>
      </c>
    </row>
    <row r="82" spans="1:11" x14ac:dyDescent="0.2">
      <c r="A82" t="s">
        <v>220</v>
      </c>
      <c r="C82" t="str">
        <f>IF($A82&lt;&gt;"", _xlfn.IFNA(VLOOKUP(RIGHT(LEFT($A82,4),3),'District LookUp Table'!$A$2:$B$19,2,FALSE), "NOT FOUND"), "")</f>
        <v>Wong Tai Sin</v>
      </c>
    </row>
    <row r="83" spans="1:11" x14ac:dyDescent="0.2">
      <c r="A83" t="s">
        <v>223</v>
      </c>
      <c r="C83" t="str">
        <f>IF($A83&lt;&gt;"", _xlfn.IFNA(VLOOKUP(RIGHT(LEFT($A83,4),3),'District LookUp Table'!$A$2:$B$19,2,FALSE), "NOT FOUND"), "")</f>
        <v>Wong Tai Sin</v>
      </c>
    </row>
    <row r="84" spans="1:11" x14ac:dyDescent="0.2">
      <c r="A84" t="s">
        <v>224</v>
      </c>
      <c r="C84" t="str">
        <f>IF($A84&lt;&gt;"", _xlfn.IFNA(VLOOKUP(RIGHT(LEFT($A84,4),3),'District LookUp Table'!$A$2:$B$19,2,FALSE), "NOT FOUND"), "")</f>
        <v>Wong Tai Sin</v>
      </c>
    </row>
    <row r="85" spans="1:11" x14ac:dyDescent="0.2">
      <c r="A85" t="s">
        <v>225</v>
      </c>
      <c r="C85" t="str">
        <f>IF($A85&lt;&gt;"", _xlfn.IFNA(VLOOKUP(RIGHT(LEFT($A85,4),3),'District LookUp Table'!$A$2:$B$19,2,FALSE), "NOT FOUND"), "")</f>
        <v>Wong Tai Sin</v>
      </c>
    </row>
    <row r="86" spans="1:11" x14ac:dyDescent="0.2">
      <c r="A86" t="s">
        <v>226</v>
      </c>
      <c r="C86" t="str">
        <f>IF($A86&lt;&gt;"", _xlfn.IFNA(VLOOKUP(RIGHT(LEFT($A86,4),3),'District LookUp Table'!$A$2:$B$19,2,FALSE), "NOT FOUND"), "")</f>
        <v>Wong Tai Sin</v>
      </c>
    </row>
    <row r="87" spans="1:11" x14ac:dyDescent="0.2">
      <c r="A87" t="s">
        <v>43</v>
      </c>
      <c r="B87" s="1" t="s">
        <v>44</v>
      </c>
      <c r="C87" t="str">
        <f>IF($A87&lt;&gt;"", _xlfn.IFNA(VLOOKUP(RIGHT(LEFT($A87,4),3),'District LookUp Table'!$A$2:$B$19,2,FALSE), "NOT FOUND"), "")</f>
        <v>Yuen Long</v>
      </c>
      <c r="D87" t="s">
        <v>45</v>
      </c>
      <c r="E87" t="s">
        <v>49</v>
      </c>
      <c r="K87" t="s">
        <v>117</v>
      </c>
    </row>
    <row r="88" spans="1:11" x14ac:dyDescent="0.2">
      <c r="A88" t="s">
        <v>69</v>
      </c>
      <c r="B88" t="s">
        <v>70</v>
      </c>
      <c r="C88" t="str">
        <f>IF($A88&lt;&gt;"", _xlfn.IFNA(VLOOKUP(RIGHT(LEFT($A88,4),3),'District LookUp Table'!$A$2:$B$19,2,FALSE), "NOT FOUND"), "")</f>
        <v>Yuen Long</v>
      </c>
      <c r="D88" t="s">
        <v>71</v>
      </c>
      <c r="E88" t="s">
        <v>47</v>
      </c>
      <c r="H88" t="s">
        <v>68</v>
      </c>
      <c r="K88" t="s">
        <v>118</v>
      </c>
    </row>
    <row r="89" spans="1:11" x14ac:dyDescent="0.2">
      <c r="A89" t="s">
        <v>72</v>
      </c>
      <c r="B89" t="s">
        <v>73</v>
      </c>
      <c r="C89" t="str">
        <f>IF($A89&lt;&gt;"", _xlfn.IFNA(VLOOKUP(RIGHT(LEFT($A89,4),3),'District LookUp Table'!$A$2:$B$19,2,FALSE), "NOT FOUND"), "")</f>
        <v>Yuen Long</v>
      </c>
      <c r="D89" t="s">
        <v>74</v>
      </c>
      <c r="E89" t="s">
        <v>49</v>
      </c>
      <c r="H89" t="s">
        <v>75</v>
      </c>
      <c r="K89" t="s">
        <v>119</v>
      </c>
    </row>
    <row r="90" spans="1:11" x14ac:dyDescent="0.2">
      <c r="A90" t="s">
        <v>76</v>
      </c>
      <c r="B90" t="s">
        <v>77</v>
      </c>
      <c r="C90" t="str">
        <f>IF($A90&lt;&gt;"", _xlfn.IFNA(VLOOKUP(RIGHT(LEFT($A90,4),3),'District LookUp Table'!$A$2:$B$19,2,FALSE), "NOT FOUND"), "")</f>
        <v>Yuen Long</v>
      </c>
      <c r="D90" t="s">
        <v>79</v>
      </c>
      <c r="E90" t="s">
        <v>50</v>
      </c>
      <c r="H90" t="s">
        <v>78</v>
      </c>
      <c r="K90" t="s">
        <v>80</v>
      </c>
    </row>
    <row r="91" spans="1:11" x14ac:dyDescent="0.2">
      <c r="A91" t="s">
        <v>81</v>
      </c>
      <c r="B91" t="s">
        <v>82</v>
      </c>
      <c r="C91" t="str">
        <f>IF($A91&lt;&gt;"", _xlfn.IFNA(VLOOKUP(RIGHT(LEFT($A91,4),3),'District LookUp Table'!$A$2:$B$19,2,FALSE), "NOT FOUND"), "")</f>
        <v>Yuen Long</v>
      </c>
      <c r="D91" t="s">
        <v>83</v>
      </c>
      <c r="E91" t="s">
        <v>47</v>
      </c>
      <c r="H91" t="s">
        <v>85</v>
      </c>
      <c r="K91" t="s">
        <v>120</v>
      </c>
    </row>
    <row r="92" spans="1:11" x14ac:dyDescent="0.2">
      <c r="A92" t="s">
        <v>86</v>
      </c>
      <c r="B92" t="s">
        <v>87</v>
      </c>
      <c r="C92" t="str">
        <f>IF($A92&lt;&gt;"", _xlfn.IFNA(VLOOKUP(RIGHT(LEFT($A92,4),3),'District LookUp Table'!$A$2:$B$19,2,FALSE), "NOT FOUND"), "")</f>
        <v>Yuen Long</v>
      </c>
      <c r="D92" t="s">
        <v>88</v>
      </c>
      <c r="E92" t="s">
        <v>47</v>
      </c>
      <c r="K92" t="s">
        <v>121</v>
      </c>
    </row>
    <row r="93" spans="1:11" x14ac:dyDescent="0.2">
      <c r="A93" t="s">
        <v>90</v>
      </c>
      <c r="B93" t="s">
        <v>91</v>
      </c>
      <c r="C93" t="str">
        <f>IF($A93&lt;&gt;"", _xlfn.IFNA(VLOOKUP(RIGHT(LEFT($A93,4),3),'District LookUp Table'!$A$2:$B$19,2,FALSE), "NOT FOUND"), "")</f>
        <v>Yuen Long</v>
      </c>
      <c r="D93" t="s">
        <v>92</v>
      </c>
      <c r="E93" t="s">
        <v>48</v>
      </c>
      <c r="K93" t="s">
        <v>122</v>
      </c>
    </row>
    <row r="94" spans="1:11" x14ac:dyDescent="0.2">
      <c r="A94" t="s">
        <v>93</v>
      </c>
      <c r="B94" t="s">
        <v>113</v>
      </c>
      <c r="C94" t="str">
        <f>IF($A94&lt;&gt;"", _xlfn.IFNA(VLOOKUP(RIGHT(LEFT($A94,4),3),'District LookUp Table'!$A$2:$B$19,2,FALSE), "NOT FOUND"), "")</f>
        <v>Yuen Long</v>
      </c>
      <c r="D94" t="s">
        <v>114</v>
      </c>
      <c r="E94" t="s">
        <v>50</v>
      </c>
      <c r="H94" t="s">
        <v>116</v>
      </c>
    </row>
    <row r="95" spans="1:11" x14ac:dyDescent="0.2">
      <c r="A95" t="s">
        <v>94</v>
      </c>
      <c r="C95" t="str">
        <f>IF($A95&lt;&gt;"", _xlfn.IFNA(VLOOKUP(RIGHT(LEFT($A95,4),3),'District LookUp Table'!$A$2:$B$19,2,FALSE), "NOT FOUND"), "")</f>
        <v>Yuen Long</v>
      </c>
    </row>
    <row r="96" spans="1:11" x14ac:dyDescent="0.2">
      <c r="A96" t="s">
        <v>95</v>
      </c>
      <c r="C96" t="str">
        <f>IF($A96&lt;&gt;"", _xlfn.IFNA(VLOOKUP(RIGHT(LEFT($A96,4),3),'District LookUp Table'!$A$2:$B$19,2,FALSE), "NOT FOUND"), "")</f>
        <v>Yuen Long</v>
      </c>
    </row>
    <row r="97" spans="1:3" x14ac:dyDescent="0.2">
      <c r="A97" t="s">
        <v>173</v>
      </c>
      <c r="C97" t="str">
        <f>IF($A97&lt;&gt;"", _xlfn.IFNA(VLOOKUP(RIGHT(LEFT($A97,4),3),'District LookUp Table'!$A$2:$B$19,2,FALSE), "NOT FOUND"), "")</f>
        <v>Yau Tsim Mong</v>
      </c>
    </row>
    <row r="98" spans="1:3" x14ac:dyDescent="0.2">
      <c r="A98" t="s">
        <v>174</v>
      </c>
      <c r="C98" t="str">
        <f>IF($A98&lt;&gt;"", _xlfn.IFNA(VLOOKUP(RIGHT(LEFT($A98,4),3),'District LookUp Table'!$A$2:$B$19,2,FALSE), "NOT FOUND"), "")</f>
        <v>Yau Tsim Mong</v>
      </c>
    </row>
    <row r="99" spans="1:3" x14ac:dyDescent="0.2">
      <c r="A99" t="s">
        <v>175</v>
      </c>
      <c r="C99" t="str">
        <f>IF($A99&lt;&gt;"", _xlfn.IFNA(VLOOKUP(RIGHT(LEFT($A99,4),3),'District LookUp Table'!$A$2:$B$19,2,FALSE), "NOT FOUND"), "")</f>
        <v>Yau Tsim Mong</v>
      </c>
    </row>
    <row r="100" spans="1:3" x14ac:dyDescent="0.2">
      <c r="A100" t="s">
        <v>176</v>
      </c>
      <c r="C100" t="str">
        <f>IF($A100&lt;&gt;"", _xlfn.IFNA(VLOOKUP(RIGHT(LEFT($A100,4),3),'District LookUp Table'!$A$2:$B$19,2,FALSE), "NOT FOUND"), "")</f>
        <v>Yau Tsim Mong</v>
      </c>
    </row>
    <row r="101" spans="1:3" x14ac:dyDescent="0.2">
      <c r="A101" t="s">
        <v>177</v>
      </c>
      <c r="C101" t="str">
        <f>IF($A101&lt;&gt;"", _xlfn.IFNA(VLOOKUP(RIGHT(LEFT($A101,4),3),'District LookUp Table'!$A$2:$B$19,2,FALSE), "NOT FOUND"), "")</f>
        <v>Yau Tsim Mong</v>
      </c>
    </row>
    <row r="102" spans="1:3" x14ac:dyDescent="0.2">
      <c r="C102" t="str">
        <f>IF($A102&lt;&gt;"", _xlfn.IFNA(VLOOKUP(RIGHT(LEFT($A102,4),3),'District LookUp Table'!$A$2:$B$19,2,FALSE), "NOT FOUND"), "")</f>
        <v/>
      </c>
    </row>
    <row r="103" spans="1:3" x14ac:dyDescent="0.2">
      <c r="C103" t="str">
        <f>IF($A103&lt;&gt;"", _xlfn.IFNA(VLOOKUP(RIGHT(LEFT($A103,4),3),'District LookUp Table'!$A$2:$B$19,2,FALSE), "NOT FOUND"), "")</f>
        <v/>
      </c>
    </row>
    <row r="104" spans="1:3" x14ac:dyDescent="0.2">
      <c r="C104" t="str">
        <f>IF($A104&lt;&gt;"", _xlfn.IFNA(VLOOKUP(RIGHT(LEFT($A104,4),3),'District LookUp Table'!$A$2:$B$19,2,FALSE), "NOT FOUND"), "")</f>
        <v/>
      </c>
    </row>
    <row r="105" spans="1:3" x14ac:dyDescent="0.2">
      <c r="C105" t="str">
        <f>IF($A105&lt;&gt;"", _xlfn.IFNA(VLOOKUP(RIGHT(LEFT($A105,4),3),'District LookUp Table'!$A$2:$B$19,2,FALSE), "NOT FOUND"), "")</f>
        <v/>
      </c>
    </row>
    <row r="106" spans="1:3" x14ac:dyDescent="0.2">
      <c r="C106" t="str">
        <f>IF($A106&lt;&gt;"", _xlfn.IFNA(VLOOKUP(RIGHT(LEFT($A106,4),3),'District LookUp Table'!$A$2:$B$19,2,FALSE), "NOT FOUND"), "")</f>
        <v/>
      </c>
    </row>
    <row r="107" spans="1:3" x14ac:dyDescent="0.2">
      <c r="C107" t="str">
        <f>IF($A107&lt;&gt;"", _xlfn.IFNA(VLOOKUP(RIGHT(LEFT($A107,4),3),'District LookUp Table'!$A$2:$B$19,2,FALSE), "NOT FOUND"), "")</f>
        <v/>
      </c>
    </row>
    <row r="108" spans="1:3" x14ac:dyDescent="0.2">
      <c r="C108" t="str">
        <f>IF($A108&lt;&gt;"", _xlfn.IFNA(VLOOKUP(RIGHT(LEFT($A108,4),3),'District LookUp Table'!$A$2:$B$19,2,FALSE), "NOT FOUND"), "")</f>
        <v/>
      </c>
    </row>
    <row r="109" spans="1:3" x14ac:dyDescent="0.2">
      <c r="C109" t="str">
        <f>IF($A109&lt;&gt;"", _xlfn.IFNA(VLOOKUP(RIGHT(LEFT($A109,4),3),'District LookUp Table'!$A$2:$B$19,2,FALSE), "NOT FOUND"), "")</f>
        <v/>
      </c>
    </row>
    <row r="110" spans="1:3" x14ac:dyDescent="0.2">
      <c r="C110" t="str">
        <f>IF($A110&lt;&gt;"", _xlfn.IFNA(VLOOKUP(RIGHT(LEFT($A110,4),3),'District LookUp Table'!$A$2:$B$19,2,FALSE), "NOT FOUND"), "")</f>
        <v/>
      </c>
    </row>
    <row r="111" spans="1:3" x14ac:dyDescent="0.2">
      <c r="C111" t="str">
        <f>IF($A111&lt;&gt;"", _xlfn.IFNA(VLOOKUP(RIGHT(LEFT($A111,4),3),'District LookUp Table'!$A$2:$B$19,2,FALSE), "NOT FOUND"), "")</f>
        <v/>
      </c>
    </row>
    <row r="112" spans="1:3" x14ac:dyDescent="0.2">
      <c r="C112" t="str">
        <f>IF($A112&lt;&gt;"", _xlfn.IFNA(VLOOKUP(RIGHT(LEFT($A112,4),3),'District LookUp Table'!$A$2:$B$19,2,FALSE), "NOT FOUND"), "")</f>
        <v/>
      </c>
    </row>
    <row r="113" spans="3:3" x14ac:dyDescent="0.2">
      <c r="C113" t="str">
        <f>IF($A113&lt;&gt;"", _xlfn.IFNA(VLOOKUP(RIGHT(LEFT($A113,4),3),'District LookUp Table'!$A$2:$B$19,2,FALSE), "NOT FOUND"), "")</f>
        <v/>
      </c>
    </row>
    <row r="114" spans="3:3" x14ac:dyDescent="0.2">
      <c r="C114" t="str">
        <f>IF($A114&lt;&gt;"", _xlfn.IFNA(VLOOKUP(RIGHT(LEFT($A114,4),3),'District LookUp Table'!$A$2:$B$19,2,FALSE), "NOT FOUND"), "")</f>
        <v/>
      </c>
    </row>
    <row r="115" spans="3:3" x14ac:dyDescent="0.2">
      <c r="C115" t="str">
        <f>IF($A115&lt;&gt;"", _xlfn.IFNA(VLOOKUP(RIGHT(LEFT($A115,4),3),'District LookUp Table'!$A$2:$B$19,2,FALSE), "NOT FOUND"), "")</f>
        <v/>
      </c>
    </row>
    <row r="116" spans="3:3" x14ac:dyDescent="0.2">
      <c r="C116" t="str">
        <f>IF($A116&lt;&gt;"", _xlfn.IFNA(VLOOKUP(RIGHT(LEFT($A116,4),3),'District LookUp Table'!$A$2:$B$19,2,FALSE), "NOT FOUND"), "")</f>
        <v/>
      </c>
    </row>
    <row r="117" spans="3:3" x14ac:dyDescent="0.2">
      <c r="C117" t="str">
        <f>IF($A117&lt;&gt;"", _xlfn.IFNA(VLOOKUP(RIGHT(LEFT($A117,4),3),'District LookUp Table'!$A$2:$B$19,2,FALSE), "NOT FOUND"), "")</f>
        <v/>
      </c>
    </row>
    <row r="118" spans="3:3" x14ac:dyDescent="0.2">
      <c r="C118" t="str">
        <f>IF($A118&lt;&gt;"", _xlfn.IFNA(VLOOKUP(RIGHT(LEFT($A118,4),3),'District LookUp Table'!$A$2:$B$19,2,FALSE), "NOT FOUND"), "")</f>
        <v/>
      </c>
    </row>
    <row r="119" spans="3:3" x14ac:dyDescent="0.2">
      <c r="C119" t="str">
        <f>IF($A119&lt;&gt;"", _xlfn.IFNA(VLOOKUP(RIGHT(LEFT($A119,4),3),'District LookUp Table'!$A$2:$B$19,2,FALSE), "NOT FOUND"), "")</f>
        <v/>
      </c>
    </row>
    <row r="120" spans="3:3" x14ac:dyDescent="0.2">
      <c r="C120" t="str">
        <f>IF($A120&lt;&gt;"", _xlfn.IFNA(VLOOKUP(RIGHT(LEFT($A120,4),3),'District LookUp Table'!$A$2:$B$19,2,FALSE), "NOT FOUND"), "")</f>
        <v/>
      </c>
    </row>
  </sheetData>
  <sortState xmlns:xlrd2="http://schemas.microsoft.com/office/spreadsheetml/2017/richdata2" ref="A2:K101">
    <sortCondition ref="A2:A101"/>
  </sortState>
  <phoneticPr fontId="2" type="noConversion"/>
  <conditionalFormatting sqref="A1:A1048576">
    <cfRule type="duplicateValues" dxfId="3" priority="2"/>
  </conditionalFormatting>
  <conditionalFormatting sqref="C1:C1048576">
    <cfRule type="cellIs" dxfId="2" priority="1" operator="equal">
      <formula>"""NOT FOUND"""</formula>
    </cfRule>
  </conditionalFormatting>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3">
        <x14:dataValidation type="list" allowBlank="1" showInputMessage="1" showErrorMessage="1" xr:uid="{819E26B2-F3C9-854D-A0B9-24DB6E09716D}">
          <x14:formula1>
            <xm:f>Tags!$A$2:$A$10</xm:f>
          </x14:formula1>
          <xm:sqref>E2:E55</xm:sqref>
        </x14:dataValidation>
        <x14:dataValidation type="list" allowBlank="1" showInputMessage="1" showErrorMessage="1" xr:uid="{31DBD6AC-6924-3447-AE24-1562DA06A63B}">
          <x14:formula1>
            <xm:f>Tags!$E$2:$E$5</xm:f>
          </x14:formula1>
          <xm:sqref>K2:K4</xm:sqref>
        </x14:dataValidation>
        <x14:dataValidation type="list" allowBlank="1" showInputMessage="1" showErrorMessage="1" xr:uid="{49DFAE57-EAC6-974F-A760-2F5C8E8327BC}">
          <x14:formula1>
            <xm:f>Tags!$A:$A-Tags!$A$1</xm:f>
          </x14:formula1>
          <xm:sqref>E56:E1048576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1DCB9-6907-D741-96BC-AD60469A8BFE}">
  <dimension ref="A1:K50"/>
  <sheetViews>
    <sheetView zoomScale="130" zoomScaleNormal="130" workbookViewId="0">
      <selection activeCell="C12" sqref="C12"/>
    </sheetView>
  </sheetViews>
  <sheetFormatPr baseColWidth="10" defaultColWidth="11" defaultRowHeight="16" x14ac:dyDescent="0.2"/>
  <cols>
    <col min="2" max="2" width="27.83203125" customWidth="1"/>
    <col min="3" max="3" width="16" bestFit="1" customWidth="1"/>
    <col min="5" max="5" width="17.33203125" bestFit="1" customWidth="1"/>
    <col min="7" max="7" width="28.6640625" bestFit="1" customWidth="1"/>
    <col min="9" max="9" width="12" bestFit="1" customWidth="1"/>
    <col min="11" max="11" width="16.83203125" bestFit="1" customWidth="1"/>
  </cols>
  <sheetData>
    <row r="1" spans="1:11" x14ac:dyDescent="0.2">
      <c r="A1" t="s">
        <v>0</v>
      </c>
      <c r="B1" t="s">
        <v>7</v>
      </c>
      <c r="C1" t="s">
        <v>1</v>
      </c>
      <c r="D1" t="s">
        <v>2</v>
      </c>
      <c r="E1" t="s">
        <v>130</v>
      </c>
      <c r="F1" t="s">
        <v>125</v>
      </c>
      <c r="G1" t="s">
        <v>127</v>
      </c>
      <c r="H1" t="s">
        <v>4</v>
      </c>
      <c r="I1" t="s">
        <v>128</v>
      </c>
      <c r="J1" t="s">
        <v>5</v>
      </c>
      <c r="K1" t="s">
        <v>6</v>
      </c>
    </row>
    <row r="2" spans="1:11" x14ac:dyDescent="0.2">
      <c r="A2" t="s">
        <v>123</v>
      </c>
      <c r="B2" t="s">
        <v>124</v>
      </c>
      <c r="C2" t="str">
        <f>IF(A2&lt;&gt;"", _xlfn.IFNA(VLOOKUP(RIGHT(LEFT(A2,4),3),'District LookUp Table'!$A$2:$B$19,2,FALSE), "NOT FOUND"), "")</f>
        <v>Yuen Long</v>
      </c>
      <c r="E2" t="s">
        <v>131</v>
      </c>
      <c r="F2" t="s">
        <v>147</v>
      </c>
      <c r="G2" t="s">
        <v>129</v>
      </c>
      <c r="H2" t="s">
        <v>134</v>
      </c>
      <c r="I2" t="s">
        <v>133</v>
      </c>
      <c r="K2" t="s">
        <v>132</v>
      </c>
    </row>
    <row r="3" spans="1:11" x14ac:dyDescent="0.2">
      <c r="A3" t="s">
        <v>135</v>
      </c>
      <c r="B3" t="s">
        <v>136</v>
      </c>
      <c r="C3" t="str">
        <f>IF(A3&lt;&gt;"", _xlfn.IFNA(VLOOKUP(RIGHT(LEFT(A3,4),3),'District LookUp Table'!$A$2:$B$19,2,FALSE), "NOT FOUND"), "")</f>
        <v>Yuen Long</v>
      </c>
      <c r="E3" t="s">
        <v>156</v>
      </c>
      <c r="F3" t="s">
        <v>126</v>
      </c>
      <c r="G3" t="s">
        <v>137</v>
      </c>
      <c r="H3" t="s">
        <v>134</v>
      </c>
      <c r="I3" t="s">
        <v>138</v>
      </c>
      <c r="K3" t="s">
        <v>89</v>
      </c>
    </row>
    <row r="4" spans="1:11" x14ac:dyDescent="0.2">
      <c r="A4" t="s">
        <v>139</v>
      </c>
      <c r="B4" t="s">
        <v>152</v>
      </c>
      <c r="C4" t="str">
        <f>IF(A4&lt;&gt;"", _xlfn.IFNA(VLOOKUP(RIGHT(LEFT(A4,4),3),'District LookUp Table'!$A$2:$B$19,2,FALSE), "NOT FOUND"), "")</f>
        <v>Yuen Long</v>
      </c>
      <c r="E4" t="s">
        <v>156</v>
      </c>
      <c r="F4" t="s">
        <v>126</v>
      </c>
      <c r="G4" t="s">
        <v>153</v>
      </c>
      <c r="H4" t="s">
        <v>134</v>
      </c>
      <c r="I4" t="s">
        <v>154</v>
      </c>
      <c r="K4" t="s">
        <v>89</v>
      </c>
    </row>
    <row r="5" spans="1:11" x14ac:dyDescent="0.2">
      <c r="A5" t="s">
        <v>140</v>
      </c>
      <c r="B5" t="s">
        <v>141</v>
      </c>
      <c r="C5" t="str">
        <f>IF(A5&lt;&gt;"", _xlfn.IFNA(VLOOKUP(RIGHT(LEFT(A5,4),3),'District LookUp Table'!$A$2:$B$19,2,FALSE), "NOT FOUND"), "")</f>
        <v>Tuen Mun</v>
      </c>
      <c r="E5" t="s">
        <v>156</v>
      </c>
      <c r="F5" t="s">
        <v>126</v>
      </c>
      <c r="G5" t="s">
        <v>142</v>
      </c>
      <c r="H5" t="s">
        <v>134</v>
      </c>
      <c r="I5" t="s">
        <v>143</v>
      </c>
      <c r="K5" t="s">
        <v>89</v>
      </c>
    </row>
    <row r="6" spans="1:11" x14ac:dyDescent="0.2">
      <c r="A6" t="s">
        <v>144</v>
      </c>
      <c r="B6" t="s">
        <v>145</v>
      </c>
      <c r="C6" t="str">
        <f>IF(A6&lt;&gt;"", _xlfn.IFNA(VLOOKUP(RIGHT(LEFT(A6,4),3),'District LookUp Table'!$A$2:$B$19,2,FALSE), "NOT FOUND"), "")</f>
        <v>Tuen Mun</v>
      </c>
      <c r="E6" t="s">
        <v>146</v>
      </c>
      <c r="F6" t="s">
        <v>147</v>
      </c>
      <c r="G6" t="s">
        <v>148</v>
      </c>
      <c r="H6" t="s">
        <v>149</v>
      </c>
      <c r="I6" t="s">
        <v>150</v>
      </c>
      <c r="K6" t="s">
        <v>89</v>
      </c>
    </row>
    <row r="7" spans="1:11" ht="34" x14ac:dyDescent="0.2">
      <c r="A7" t="s">
        <v>151</v>
      </c>
      <c r="B7" s="2" t="s">
        <v>155</v>
      </c>
      <c r="C7" t="str">
        <f>IF(A7&lt;&gt;"", _xlfn.IFNA(VLOOKUP(RIGHT(LEFT(A7,4),3),'District LookUp Table'!$A$2:$B$19,2,FALSE), "NOT FOUND"), "")</f>
        <v>Tuen Mun</v>
      </c>
      <c r="E7" t="s">
        <v>156</v>
      </c>
      <c r="F7" t="s">
        <v>157</v>
      </c>
      <c r="G7" t="s">
        <v>158</v>
      </c>
      <c r="H7" t="s">
        <v>159</v>
      </c>
      <c r="I7" t="s">
        <v>160</v>
      </c>
      <c r="K7" t="s">
        <v>132</v>
      </c>
    </row>
    <row r="8" spans="1:11" x14ac:dyDescent="0.2">
      <c r="A8" t="s">
        <v>161</v>
      </c>
      <c r="C8" t="str">
        <f>IF(A8&lt;&gt;"", _xlfn.IFNA(VLOOKUP(RIGHT(LEFT(A8,4),3),'District LookUp Table'!$A$2:$B$19,2,FALSE), "NOT FOUND"), "")</f>
        <v>Tsuen Wan</v>
      </c>
    </row>
    <row r="9" spans="1:11" x14ac:dyDescent="0.2">
      <c r="C9" t="str">
        <f>IF(A9&lt;&gt;"", _xlfn.IFNA(VLOOKUP(RIGHT(LEFT(A9,4),3),'District LookUp Table'!$A$2:$B$19,2,FALSE), "NOT FOUND"), "")</f>
        <v/>
      </c>
    </row>
    <row r="10" spans="1:11" x14ac:dyDescent="0.2">
      <c r="C10" t="str">
        <f>IF(A10&lt;&gt;"", _xlfn.IFNA(VLOOKUP(RIGHT(LEFT(A10,4),3),'District LookUp Table'!$A$2:$B$19,2,FALSE), "NOT FOUND"), "")</f>
        <v/>
      </c>
    </row>
    <row r="11" spans="1:11" x14ac:dyDescent="0.2">
      <c r="C11" t="str">
        <f>IF(A11&lt;&gt;"", _xlfn.IFNA(VLOOKUP(RIGHT(LEFT(A11,4),3),'District LookUp Table'!$A$2:$B$19,2,FALSE), "NOT FOUND"), "")</f>
        <v/>
      </c>
    </row>
    <row r="12" spans="1:11" x14ac:dyDescent="0.2">
      <c r="C12" t="str">
        <f>IF(A12&lt;&gt;"", _xlfn.IFNA(VLOOKUP(RIGHT(LEFT(A12,4),3),'District LookUp Table'!$A$2:$B$19,2,FALSE), "NOT FOUND"), "")</f>
        <v/>
      </c>
    </row>
    <row r="13" spans="1:11" x14ac:dyDescent="0.2">
      <c r="C13" t="str">
        <f>IF(A13&lt;&gt;"", _xlfn.IFNA(VLOOKUP(RIGHT(LEFT(A13,4),3),'District LookUp Table'!$A$2:$B$19,2,FALSE), "NOT FOUND"), "")</f>
        <v/>
      </c>
    </row>
    <row r="14" spans="1:11" x14ac:dyDescent="0.2">
      <c r="C14" t="str">
        <f>IF(A14&lt;&gt;"", _xlfn.IFNA(VLOOKUP(RIGHT(LEFT(A14,4),3),'District LookUp Table'!$A$2:$B$19,2,FALSE), "NOT FOUND"), "")</f>
        <v/>
      </c>
    </row>
    <row r="15" spans="1:11" x14ac:dyDescent="0.2">
      <c r="C15" t="str">
        <f>IF(A15&lt;&gt;"", _xlfn.IFNA(VLOOKUP(RIGHT(LEFT(A15,4),3),'District LookUp Table'!$A$2:$B$19,2,FALSE), "NOT FOUND"), "")</f>
        <v/>
      </c>
    </row>
    <row r="16" spans="1:11" x14ac:dyDescent="0.2">
      <c r="C16" t="str">
        <f>IF(A16&lt;&gt;"", _xlfn.IFNA(VLOOKUP(RIGHT(LEFT(A16,4),3),'District LookUp Table'!$A$2:$B$19,2,FALSE), "NOT FOUND"), "")</f>
        <v/>
      </c>
    </row>
    <row r="17" spans="3:3" x14ac:dyDescent="0.2">
      <c r="C17" t="str">
        <f>IF(A17&lt;&gt;"", _xlfn.IFNA(VLOOKUP(RIGHT(LEFT(A17,4),3),'District LookUp Table'!$A$2:$B$19,2,FALSE), "NOT FOUND"), "")</f>
        <v/>
      </c>
    </row>
    <row r="18" spans="3:3" x14ac:dyDescent="0.2">
      <c r="C18" t="str">
        <f>IF(A18&lt;&gt;"", _xlfn.IFNA(VLOOKUP(RIGHT(LEFT(A18,4),3),'District LookUp Table'!$A$2:$B$19,2,FALSE), "NOT FOUND"), "")</f>
        <v/>
      </c>
    </row>
    <row r="19" spans="3:3" x14ac:dyDescent="0.2">
      <c r="C19" t="str">
        <f>IF(A19&lt;&gt;"", _xlfn.IFNA(VLOOKUP(RIGHT(LEFT(A19,4),3),'District LookUp Table'!$A$2:$B$19,2,FALSE), "NOT FOUND"), "")</f>
        <v/>
      </c>
    </row>
    <row r="20" spans="3:3" x14ac:dyDescent="0.2">
      <c r="C20" t="str">
        <f>IF(A20&lt;&gt;"", _xlfn.IFNA(VLOOKUP(RIGHT(LEFT(A20,4),3),'District LookUp Table'!$A$2:$B$19,2,FALSE), "NOT FOUND"), "")</f>
        <v/>
      </c>
    </row>
    <row r="21" spans="3:3" x14ac:dyDescent="0.2">
      <c r="C21" t="str">
        <f>IF(A21&lt;&gt;"", _xlfn.IFNA(VLOOKUP(RIGHT(LEFT(A21,4),3),'District LookUp Table'!$A$2:$B$19,2,FALSE), "NOT FOUND"), "")</f>
        <v/>
      </c>
    </row>
    <row r="22" spans="3:3" x14ac:dyDescent="0.2">
      <c r="C22" t="str">
        <f>IF(A22&lt;&gt;"", _xlfn.IFNA(VLOOKUP(RIGHT(LEFT(A22,4),3),'District LookUp Table'!$A$2:$B$19,2,FALSE), "NOT FOUND"), "")</f>
        <v/>
      </c>
    </row>
    <row r="23" spans="3:3" x14ac:dyDescent="0.2">
      <c r="C23" t="str">
        <f>IF(A23&lt;&gt;"", _xlfn.IFNA(VLOOKUP(RIGHT(LEFT(A23,4),3),'District LookUp Table'!$A$2:$B$19,2,FALSE), "NOT FOUND"), "")</f>
        <v/>
      </c>
    </row>
    <row r="24" spans="3:3" x14ac:dyDescent="0.2">
      <c r="C24" t="str">
        <f>IF(A24&lt;&gt;"", _xlfn.IFNA(VLOOKUP(RIGHT(LEFT(A24,4),3),'District LookUp Table'!$A$2:$B$19,2,FALSE), "NOT FOUND"), "")</f>
        <v/>
      </c>
    </row>
    <row r="25" spans="3:3" x14ac:dyDescent="0.2">
      <c r="C25" t="str">
        <f>IF(A25&lt;&gt;"", _xlfn.IFNA(VLOOKUP(RIGHT(LEFT(A25,4),3),'District LookUp Table'!$A$2:$B$19,2,FALSE), "NOT FOUND"), "")</f>
        <v/>
      </c>
    </row>
    <row r="26" spans="3:3" x14ac:dyDescent="0.2">
      <c r="C26" t="str">
        <f>IF(A26&lt;&gt;"", _xlfn.IFNA(VLOOKUP(RIGHT(LEFT(A26,4),3),'District LookUp Table'!$A$2:$B$19,2,FALSE), "NOT FOUND"), "")</f>
        <v/>
      </c>
    </row>
    <row r="27" spans="3:3" x14ac:dyDescent="0.2">
      <c r="C27" t="str">
        <f>IF(A27&lt;&gt;"", _xlfn.IFNA(VLOOKUP(RIGHT(LEFT(A27,4),3),'District LookUp Table'!$A$2:$B$19,2,FALSE), "NOT FOUND"), "")</f>
        <v/>
      </c>
    </row>
    <row r="28" spans="3:3" x14ac:dyDescent="0.2">
      <c r="C28" t="str">
        <f>IF(A28&lt;&gt;"", _xlfn.IFNA(VLOOKUP(RIGHT(LEFT(A28,4),3),'District LookUp Table'!$A$2:$B$19,2,FALSE), "NOT FOUND"), "")</f>
        <v/>
      </c>
    </row>
    <row r="29" spans="3:3" x14ac:dyDescent="0.2">
      <c r="C29" t="str">
        <f>IF(A29&lt;&gt;"", _xlfn.IFNA(VLOOKUP(RIGHT(LEFT(A29,4),3),'District LookUp Table'!$A$2:$B$19,2,FALSE), "NOT FOUND"), "")</f>
        <v/>
      </c>
    </row>
    <row r="30" spans="3:3" x14ac:dyDescent="0.2">
      <c r="C30" t="str">
        <f>IF(A30&lt;&gt;"", _xlfn.IFNA(VLOOKUP(RIGHT(LEFT(A30,4),3),'District LookUp Table'!$A$2:$B$19,2,FALSE), "NOT FOUND"), "")</f>
        <v/>
      </c>
    </row>
    <row r="31" spans="3:3" x14ac:dyDescent="0.2">
      <c r="C31" t="str">
        <f>IF(A31&lt;&gt;"", _xlfn.IFNA(VLOOKUP(RIGHT(LEFT(A31,4),3),'District LookUp Table'!$A$2:$B$19,2,FALSE), "NOT FOUND"), "")</f>
        <v/>
      </c>
    </row>
    <row r="32" spans="3:3" x14ac:dyDescent="0.2">
      <c r="C32" t="str">
        <f>IF(A32&lt;&gt;"", _xlfn.IFNA(VLOOKUP(RIGHT(LEFT(A32,4),3),'District LookUp Table'!$A$2:$B$19,2,FALSE), "NOT FOUND"), "")</f>
        <v/>
      </c>
    </row>
    <row r="33" spans="3:3" x14ac:dyDescent="0.2">
      <c r="C33" t="str">
        <f>IF(A33&lt;&gt;"", _xlfn.IFNA(VLOOKUP(RIGHT(LEFT(A33,4),3),'District LookUp Table'!$A$2:$B$19,2,FALSE), "NOT FOUND"), "")</f>
        <v/>
      </c>
    </row>
    <row r="34" spans="3:3" x14ac:dyDescent="0.2">
      <c r="C34" t="str">
        <f>IF(A34&lt;&gt;"", _xlfn.IFNA(VLOOKUP(RIGHT(LEFT(A34,4),3),'District LookUp Table'!$A$2:$B$19,2,FALSE), "NOT FOUND"), "")</f>
        <v/>
      </c>
    </row>
    <row r="35" spans="3:3" x14ac:dyDescent="0.2">
      <c r="C35" t="str">
        <f>IF(A35&lt;&gt;"", _xlfn.IFNA(VLOOKUP(RIGHT(LEFT(A35,4),3),'District LookUp Table'!$A$2:$B$19,2,FALSE), "NOT FOUND"), "")</f>
        <v/>
      </c>
    </row>
    <row r="36" spans="3:3" x14ac:dyDescent="0.2">
      <c r="C36" t="str">
        <f>IF(A36&lt;&gt;"", _xlfn.IFNA(VLOOKUP(RIGHT(LEFT(A36,4),3),'District LookUp Table'!$A$2:$B$19,2,FALSE), "NOT FOUND"), "")</f>
        <v/>
      </c>
    </row>
    <row r="37" spans="3:3" x14ac:dyDescent="0.2">
      <c r="C37" t="str">
        <f>IF(A37&lt;&gt;"", _xlfn.IFNA(VLOOKUP(RIGHT(LEFT(A37,4),3),'District LookUp Table'!$A$2:$B$19,2,FALSE), "NOT FOUND"), "")</f>
        <v/>
      </c>
    </row>
    <row r="38" spans="3:3" x14ac:dyDescent="0.2">
      <c r="C38" t="str">
        <f>IF(A38&lt;&gt;"", _xlfn.IFNA(VLOOKUP(RIGHT(LEFT(A38,4),3),'District LookUp Table'!$A$2:$B$19,2,FALSE), "NOT FOUND"), "")</f>
        <v/>
      </c>
    </row>
    <row r="39" spans="3:3" x14ac:dyDescent="0.2">
      <c r="C39" t="str">
        <f>IF(A39&lt;&gt;"", _xlfn.IFNA(VLOOKUP(RIGHT(LEFT(A39,4),3),'District LookUp Table'!$A$2:$B$19,2,FALSE), "NOT FOUND"), "")</f>
        <v/>
      </c>
    </row>
    <row r="40" spans="3:3" x14ac:dyDescent="0.2">
      <c r="C40" t="str">
        <f>IF(A40&lt;&gt;"", _xlfn.IFNA(VLOOKUP(RIGHT(LEFT(A40,4),3),'District LookUp Table'!$A$2:$B$19,2,FALSE), "NOT FOUND"), "")</f>
        <v/>
      </c>
    </row>
    <row r="41" spans="3:3" x14ac:dyDescent="0.2">
      <c r="C41" t="str">
        <f>IF(A41&lt;&gt;"", _xlfn.IFNA(VLOOKUP(RIGHT(LEFT(A41,4),3),'District LookUp Table'!$A$2:$B$19,2,FALSE), "NOT FOUND"), "")</f>
        <v/>
      </c>
    </row>
    <row r="42" spans="3:3" x14ac:dyDescent="0.2">
      <c r="C42" t="str">
        <f>IF(A42&lt;&gt;"", _xlfn.IFNA(VLOOKUP(RIGHT(LEFT(A42,4),3),'District LookUp Table'!$A$2:$B$19,2,FALSE), "NOT FOUND"), "")</f>
        <v/>
      </c>
    </row>
    <row r="43" spans="3:3" x14ac:dyDescent="0.2">
      <c r="C43" t="str">
        <f>IF(A43&lt;&gt;"", _xlfn.IFNA(VLOOKUP(RIGHT(LEFT(A43,4),3),'District LookUp Table'!$A$2:$B$19,2,FALSE), "NOT FOUND"), "")</f>
        <v/>
      </c>
    </row>
    <row r="44" spans="3:3" x14ac:dyDescent="0.2">
      <c r="C44" t="str">
        <f>IF(A44&lt;&gt;"", _xlfn.IFNA(VLOOKUP(RIGHT(LEFT(A44,4),3),'District LookUp Table'!$A$2:$B$19,2,FALSE), "NOT FOUND"), "")</f>
        <v/>
      </c>
    </row>
    <row r="45" spans="3:3" x14ac:dyDescent="0.2">
      <c r="C45" t="str">
        <f>IF(A45&lt;&gt;"", _xlfn.IFNA(VLOOKUP(RIGHT(LEFT(A45,4),3),'District LookUp Table'!$A$2:$B$19,2,FALSE), "NOT FOUND"), "")</f>
        <v/>
      </c>
    </row>
    <row r="46" spans="3:3" x14ac:dyDescent="0.2">
      <c r="C46" t="str">
        <f>IF(A46&lt;&gt;"", _xlfn.IFNA(VLOOKUP(RIGHT(LEFT(A46,4),3),'District LookUp Table'!$A$2:$B$19,2,FALSE), "NOT FOUND"), "")</f>
        <v/>
      </c>
    </row>
    <row r="47" spans="3:3" x14ac:dyDescent="0.2">
      <c r="C47" t="str">
        <f>IF(A47&lt;&gt;"", _xlfn.IFNA(VLOOKUP(RIGHT(LEFT(A47,4),3),'District LookUp Table'!$A$2:$B$19,2,FALSE), "NOT FOUND"), "")</f>
        <v/>
      </c>
    </row>
    <row r="48" spans="3:3" x14ac:dyDescent="0.2">
      <c r="C48" t="str">
        <f>IF(A48&lt;&gt;"", _xlfn.IFNA(VLOOKUP(RIGHT(LEFT(A48,4),3),'District LookUp Table'!$A$2:$B$19,2,FALSE), "NOT FOUND"), "")</f>
        <v/>
      </c>
    </row>
    <row r="49" spans="3:3" x14ac:dyDescent="0.2">
      <c r="C49" t="str">
        <f>IF(A49&lt;&gt;"", _xlfn.IFNA(VLOOKUP(RIGHT(LEFT(A49,4),3),'District LookUp Table'!$A$2:$B$19,2,FALSE), "NOT FOUND"), "")</f>
        <v/>
      </c>
    </row>
    <row r="50" spans="3:3" x14ac:dyDescent="0.2">
      <c r="C50" t="str">
        <f>IF(A50&lt;&gt;"", _xlfn.IFNA(VLOOKUP(RIGHT(LEFT(A50,4),3),'District LookUp Table'!$A$2:$B$19,2,FALSE), "NOT FOUND"), "")</f>
        <v/>
      </c>
    </row>
  </sheetData>
  <conditionalFormatting sqref="A1">
    <cfRule type="duplicateValues" dxfId="1" priority="2"/>
  </conditionalFormatting>
  <conditionalFormatting sqref="C1:C1048576">
    <cfRule type="cellIs" dxfId="0" priority="1" operator="equal">
      <formula>"""NOT FOUND"""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ED754-AC12-BD44-80EC-D17D8DEA7029}">
  <dimension ref="A1:B19"/>
  <sheetViews>
    <sheetView workbookViewId="0">
      <selection activeCell="B7" sqref="B7"/>
    </sheetView>
  </sheetViews>
  <sheetFormatPr baseColWidth="10" defaultColWidth="11" defaultRowHeight="16" x14ac:dyDescent="0.2"/>
  <cols>
    <col min="2" max="2" width="22.83203125" bestFit="1" customWidth="1"/>
  </cols>
  <sheetData>
    <row r="1" spans="1:2" x14ac:dyDescent="0.2">
      <c r="A1" t="s">
        <v>0</v>
      </c>
      <c r="B1" t="s">
        <v>1</v>
      </c>
    </row>
    <row r="2" spans="1:2" x14ac:dyDescent="0.2">
      <c r="A2" t="s">
        <v>14</v>
      </c>
      <c r="B2" t="s">
        <v>9</v>
      </c>
    </row>
    <row r="3" spans="1:2" x14ac:dyDescent="0.2">
      <c r="A3" t="s">
        <v>15</v>
      </c>
      <c r="B3" t="s">
        <v>8</v>
      </c>
    </row>
    <row r="4" spans="1:2" x14ac:dyDescent="0.2">
      <c r="A4" t="s">
        <v>16</v>
      </c>
      <c r="B4" t="s">
        <v>10</v>
      </c>
    </row>
    <row r="5" spans="1:2" x14ac:dyDescent="0.2">
      <c r="A5" t="s">
        <v>17</v>
      </c>
      <c r="B5" t="s">
        <v>11</v>
      </c>
    </row>
    <row r="6" spans="1:2" x14ac:dyDescent="0.2">
      <c r="A6" t="s">
        <v>18</v>
      </c>
      <c r="B6" t="s">
        <v>12</v>
      </c>
    </row>
    <row r="7" spans="1:2" x14ac:dyDescent="0.2">
      <c r="A7" t="s">
        <v>21</v>
      </c>
      <c r="B7" t="s">
        <v>13</v>
      </c>
    </row>
    <row r="8" spans="1:2" x14ac:dyDescent="0.2">
      <c r="A8" t="s">
        <v>20</v>
      </c>
      <c r="B8" t="s">
        <v>19</v>
      </c>
    </row>
    <row r="9" spans="1:2" x14ac:dyDescent="0.2">
      <c r="A9" t="s">
        <v>23</v>
      </c>
      <c r="B9" t="s">
        <v>22</v>
      </c>
    </row>
    <row r="10" spans="1:2" x14ac:dyDescent="0.2">
      <c r="A10" t="s">
        <v>25</v>
      </c>
      <c r="B10" t="s">
        <v>24</v>
      </c>
    </row>
    <row r="11" spans="1:2" x14ac:dyDescent="0.2">
      <c r="A11" t="s">
        <v>27</v>
      </c>
      <c r="B11" t="s">
        <v>26</v>
      </c>
    </row>
    <row r="12" spans="1:2" x14ac:dyDescent="0.2">
      <c r="A12" t="s">
        <v>29</v>
      </c>
      <c r="B12" t="s">
        <v>28</v>
      </c>
    </row>
    <row r="13" spans="1:2" x14ac:dyDescent="0.2">
      <c r="A13" t="s">
        <v>31</v>
      </c>
      <c r="B13" t="s">
        <v>30</v>
      </c>
    </row>
    <row r="14" spans="1:2" x14ac:dyDescent="0.2">
      <c r="A14" t="s">
        <v>33</v>
      </c>
      <c r="B14" t="s">
        <v>32</v>
      </c>
    </row>
    <row r="15" spans="1:2" x14ac:dyDescent="0.2">
      <c r="A15" t="s">
        <v>35</v>
      </c>
      <c r="B15" t="s">
        <v>34</v>
      </c>
    </row>
    <row r="16" spans="1:2" x14ac:dyDescent="0.2">
      <c r="A16" t="s">
        <v>37</v>
      </c>
      <c r="B16" t="s">
        <v>36</v>
      </c>
    </row>
    <row r="17" spans="1:2" x14ac:dyDescent="0.2">
      <c r="A17" t="s">
        <v>221</v>
      </c>
      <c r="B17" t="s">
        <v>222</v>
      </c>
    </row>
    <row r="18" spans="1:2" x14ac:dyDescent="0.2">
      <c r="A18" t="s">
        <v>39</v>
      </c>
      <c r="B18" t="s">
        <v>38</v>
      </c>
    </row>
    <row r="19" spans="1:2" x14ac:dyDescent="0.2">
      <c r="A19" t="s">
        <v>41</v>
      </c>
      <c r="B19"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76EE-1648-024A-B5FF-0F186E065FBF}">
  <dimension ref="A1:E10"/>
  <sheetViews>
    <sheetView workbookViewId="0">
      <selection activeCell="B6" sqref="B6"/>
    </sheetView>
  </sheetViews>
  <sheetFormatPr baseColWidth="10" defaultColWidth="11" defaultRowHeight="16" x14ac:dyDescent="0.2"/>
  <cols>
    <col min="1" max="1" width="19.6640625" bestFit="1" customWidth="1"/>
    <col min="2" max="2" width="14" bestFit="1" customWidth="1"/>
    <col min="3" max="3" width="16.6640625" bestFit="1" customWidth="1"/>
    <col min="4" max="4" width="15.83203125" bestFit="1" customWidth="1"/>
  </cols>
  <sheetData>
    <row r="1" spans="1:5" x14ac:dyDescent="0.2">
      <c r="A1" t="s">
        <v>46</v>
      </c>
      <c r="B1" t="s">
        <v>52</v>
      </c>
      <c r="C1" t="s">
        <v>309</v>
      </c>
      <c r="D1" t="s">
        <v>310</v>
      </c>
      <c r="E1" t="s">
        <v>63</v>
      </c>
    </row>
    <row r="2" spans="1:5" x14ac:dyDescent="0.2">
      <c r="A2" t="s">
        <v>47</v>
      </c>
      <c r="B2" t="s">
        <v>53</v>
      </c>
      <c r="C2" t="s">
        <v>312</v>
      </c>
      <c r="D2" t="s">
        <v>62</v>
      </c>
      <c r="E2" t="s">
        <v>64</v>
      </c>
    </row>
    <row r="3" spans="1:5" x14ac:dyDescent="0.2">
      <c r="A3" t="s">
        <v>48</v>
      </c>
      <c r="B3" t="s">
        <v>54</v>
      </c>
      <c r="C3" t="s">
        <v>313</v>
      </c>
      <c r="D3" t="s">
        <v>115</v>
      </c>
      <c r="E3" t="s">
        <v>65</v>
      </c>
    </row>
    <row r="4" spans="1:5" x14ac:dyDescent="0.2">
      <c r="A4" t="s">
        <v>49</v>
      </c>
      <c r="B4" t="s">
        <v>55</v>
      </c>
      <c r="C4" t="s">
        <v>63</v>
      </c>
      <c r="D4" t="s">
        <v>315</v>
      </c>
      <c r="E4" t="s">
        <v>66</v>
      </c>
    </row>
    <row r="5" spans="1:5" x14ac:dyDescent="0.2">
      <c r="A5" t="s">
        <v>50</v>
      </c>
      <c r="B5" t="s">
        <v>56</v>
      </c>
      <c r="C5" t="s">
        <v>64</v>
      </c>
      <c r="D5" t="s">
        <v>316</v>
      </c>
      <c r="E5" t="s">
        <v>67</v>
      </c>
    </row>
    <row r="6" spans="1:5" x14ac:dyDescent="0.2">
      <c r="A6" t="s">
        <v>51</v>
      </c>
      <c r="B6" t="s">
        <v>57</v>
      </c>
      <c r="C6" t="s">
        <v>314</v>
      </c>
      <c r="D6" t="s">
        <v>317</v>
      </c>
    </row>
    <row r="7" spans="1:5" x14ac:dyDescent="0.2">
      <c r="A7" t="s">
        <v>305</v>
      </c>
      <c r="B7" t="s">
        <v>58</v>
      </c>
      <c r="C7" t="s">
        <v>382</v>
      </c>
      <c r="D7" t="s">
        <v>318</v>
      </c>
    </row>
    <row r="8" spans="1:5" x14ac:dyDescent="0.2">
      <c r="A8" t="s">
        <v>311</v>
      </c>
      <c r="B8" t="s">
        <v>59</v>
      </c>
    </row>
    <row r="9" spans="1:5" x14ac:dyDescent="0.2">
      <c r="B9" t="s">
        <v>60</v>
      </c>
    </row>
    <row r="10" spans="1:5" x14ac:dyDescent="0.2">
      <c r="B10"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Attractions</vt:lpstr>
      <vt:lpstr>Restaurants</vt:lpstr>
      <vt:lpstr>District LookUp Table</vt:lpstr>
      <vt:lpstr>Tags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kc072015@connect.hku.hk</dc:creator>
  <cp:lastModifiedBy>kc072015@connect.hku.hk</cp:lastModifiedBy>
  <dcterms:created xsi:type="dcterms:W3CDTF">2025-12-18T09:01:34Z</dcterms:created>
  <dcterms:modified xsi:type="dcterms:W3CDTF">2026-03-19T10:41:55Z</dcterms:modified>
</cp:coreProperties>
</file>