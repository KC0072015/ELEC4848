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donno/Local Storage/FYP/ELEC4848/backend/data/"/>
    </mc:Choice>
  </mc:AlternateContent>
  <xr:revisionPtr revIDLastSave="0" documentId="8_{61E6A46F-E076-8440-BF7E-04F44276A088}" xr6:coauthVersionLast="47" xr6:coauthVersionMax="47" xr10:uidLastSave="{00000000-0000-0000-0000-000000000000}"/>
  <bookViews>
    <workbookView xWindow="140" yWindow="500" windowWidth="14180" windowHeight="17200" activeTab="1" xr2:uid="{9EFF6F0D-C710-EF47-A58A-AC8F2FE2F277}"/>
  </bookViews>
  <sheets>
    <sheet name="Attractions" sheetId="1" r:id="rId1"/>
    <sheet name="Restaurants" sheetId="2" r:id="rId2"/>
    <sheet name="District LookUp Table" sheetId="3" r:id="rId3"/>
    <sheet name="Tag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0" i="2" l="1"/>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2" i="1"/>
</calcChain>
</file>

<file path=xl/sharedStrings.xml><?xml version="1.0" encoding="utf-8"?>
<sst xmlns="http://schemas.openxmlformats.org/spreadsheetml/2006/main" count="236" uniqueCount="175">
  <si>
    <t>id</t>
  </si>
  <si>
    <t>district</t>
  </si>
  <si>
    <t>coordinates</t>
  </si>
  <si>
    <t>category</t>
  </si>
  <si>
    <t>tags</t>
  </si>
  <si>
    <t>price_level</t>
  </si>
  <si>
    <t>best_time</t>
  </si>
  <si>
    <t>description</t>
  </si>
  <si>
    <t>local_tip</t>
  </si>
  <si>
    <t>transport</t>
  </si>
  <si>
    <t>name</t>
  </si>
  <si>
    <t>Eastern</t>
  </si>
  <si>
    <t>Central &amp; Western</t>
  </si>
  <si>
    <t>Islands</t>
  </si>
  <si>
    <t>Kowloon City</t>
  </si>
  <si>
    <t>Kwun Tong</t>
  </si>
  <si>
    <t>Kwai Tsing</t>
  </si>
  <si>
    <t>cwd</t>
  </si>
  <si>
    <t>ead</t>
  </si>
  <si>
    <t>isd</t>
  </si>
  <si>
    <t>kcd</t>
  </si>
  <si>
    <t>ktd</t>
  </si>
  <si>
    <t>North</t>
  </si>
  <si>
    <t>nod</t>
  </si>
  <si>
    <t>kwd</t>
  </si>
  <si>
    <t>Sai Kung</t>
  </si>
  <si>
    <t>skd</t>
  </si>
  <si>
    <t>Sha Tin</t>
  </si>
  <si>
    <t>std</t>
  </si>
  <si>
    <t>Sham Shui Po</t>
  </si>
  <si>
    <t>ssp</t>
  </si>
  <si>
    <t>Southern</t>
  </si>
  <si>
    <t>sod</t>
  </si>
  <si>
    <t>Tai Po</t>
  </si>
  <si>
    <t>tpd</t>
  </si>
  <si>
    <t>Tsuen Wan</t>
  </si>
  <si>
    <t>twd</t>
  </si>
  <si>
    <t>Tuen Mun</t>
  </si>
  <si>
    <t>tmd</t>
  </si>
  <si>
    <t>Wan Chai</t>
  </si>
  <si>
    <t>wcd</t>
  </si>
  <si>
    <t>Yau Tsim Mong</t>
  </si>
  <si>
    <t>ytm</t>
  </si>
  <si>
    <t>Yuen Long</t>
  </si>
  <si>
    <t>yld</t>
  </si>
  <si>
    <t>atmd001</t>
  </si>
  <si>
    <t>ayld001</t>
  </si>
  <si>
    <t>Kingswood Richly Plaza</t>
  </si>
  <si>
    <t>22.452153, 114.000390</t>
  </si>
  <si>
    <t>Categories</t>
  </si>
  <si>
    <t>Nature &amp; Scenary</t>
  </si>
  <si>
    <t>Heritage &amp; Culture</t>
  </si>
  <si>
    <t>Food &amp; Drink</t>
  </si>
  <si>
    <t>Recreation &amp; Activities</t>
  </si>
  <si>
    <t>Urban &amp; Architecture</t>
  </si>
  <si>
    <t>Vibe</t>
  </si>
  <si>
    <t>Chill</t>
  </si>
  <si>
    <t>Romantic</t>
  </si>
  <si>
    <t>Spooky</t>
  </si>
  <si>
    <t>Bustling</t>
  </si>
  <si>
    <t>Zen</t>
  </si>
  <si>
    <t>Insta-Worthy</t>
  </si>
  <si>
    <t>Retro/Nostalgic</t>
  </si>
  <si>
    <t>Scenic</t>
  </si>
  <si>
    <t>Industrial</t>
  </si>
  <si>
    <t>Hidden</t>
  </si>
  <si>
    <t>Local Favorites</t>
  </si>
  <si>
    <t>Tourist Friendly</t>
  </si>
  <si>
    <t>Crowded</t>
  </si>
  <si>
    <t>Budget</t>
  </si>
  <si>
    <t>Free</t>
  </si>
  <si>
    <t>&lt;100</t>
  </si>
  <si>
    <t>100-500</t>
  </si>
  <si>
    <t>&gt;500</t>
  </si>
  <si>
    <t>Romantic, Insta-Worthy, Scenic, Local Favorites</t>
  </si>
  <si>
    <t>ayld002</t>
  </si>
  <si>
    <t>Ha Pak Nai</t>
  </si>
  <si>
    <t>22.4267459, 113.9430758</t>
  </si>
  <si>
    <t>Sunset</t>
  </si>
  <si>
    <t>Minibus</t>
  </si>
  <si>
    <t>ayld003</t>
  </si>
  <si>
    <t>Lau Fau Shan</t>
  </si>
  <si>
    <t>22.4673801, 113.9841334</t>
  </si>
  <si>
    <t>Hidden, Chill</t>
  </si>
  <si>
    <t>Bus</t>
  </si>
  <si>
    <t>ayld004</t>
  </si>
  <si>
    <t>Nam Sang Wai Cable Ferry</t>
  </si>
  <si>
    <t>Tourist Friendly, Chill, Local Favorites, Hidden</t>
  </si>
  <si>
    <t>22.453904, 114.034803</t>
  </si>
  <si>
    <t>The only manual ferry in hong kong, recommended for cyclists</t>
  </si>
  <si>
    <t>ayld005</t>
  </si>
  <si>
    <t>Tai Tong Country Park</t>
  </si>
  <si>
    <t>22.40922, 114.03178</t>
  </si>
  <si>
    <t>Hiking</t>
  </si>
  <si>
    <t>Tourist Friendly, Hiking</t>
  </si>
  <si>
    <t>ayld006</t>
  </si>
  <si>
    <t>Hong Kong Wetland Park</t>
  </si>
  <si>
    <t>22.468094, 114.004183</t>
  </si>
  <si>
    <t>Bus, Light Rail</t>
  </si>
  <si>
    <t>ayld007</t>
  </si>
  <si>
    <t>Tin Sau Bazaar</t>
  </si>
  <si>
    <t>22.465715, 114.000768</t>
  </si>
  <si>
    <t>ayld008</t>
  </si>
  <si>
    <t>ayld009</t>
  </si>
  <si>
    <t>ayld010</t>
  </si>
  <si>
    <t>Ho Wo Street</t>
  </si>
  <si>
    <t>22.357358, 113.953006</t>
  </si>
  <si>
    <t>atmd002</t>
  </si>
  <si>
    <t>T·PARK</t>
  </si>
  <si>
    <t>22.422296, 113.924178</t>
  </si>
  <si>
    <t>atmd003</t>
  </si>
  <si>
    <t>22.371299, 113.988551</t>
  </si>
  <si>
    <t>Hong Kong Golden Beach</t>
  </si>
  <si>
    <t>atmd004</t>
  </si>
  <si>
    <t>22.390823, 114.024112</t>
  </si>
  <si>
    <t>Reservoir Islands Viewpoint</t>
  </si>
  <si>
    <t>Walk</t>
  </si>
  <si>
    <t>askd001</t>
  </si>
  <si>
    <t>Tap Mun</t>
  </si>
  <si>
    <t>atpd001</t>
  </si>
  <si>
    <t>Tung Ping Chau</t>
  </si>
  <si>
    <t>atpd002</t>
  </si>
  <si>
    <t>Tai Mei Tuk</t>
  </si>
  <si>
    <t>Go Green Organic Farm</t>
  </si>
  <si>
    <t>22.433645, 114.061176</t>
  </si>
  <si>
    <t>Family Friendly</t>
  </si>
  <si>
    <t>Chill, Family Friendly</t>
  </si>
  <si>
    <t>A short walk from MTR Tin Shui Wai Station or the Locwood Light Rail stop brings you to Kingswood Richly Plaza, a cornerstone of daily life for local residents. Unlike the polished, corporate malls typically found in Hong Kong, "Richly" is a maze of small, independently owned stalls and narrow corridors that hum with a distinct, "down-to-earth" energy. It is often described as the "vernacular heart" of the district, offering a stark contrast to the standardized, high-end shopping centers nearby. The plaza is particularly famous as a street food sanctuary. Students and families frequent the first and second floors for affordable snacks, ranging from spicy Sichuan noodles and tofu fa to creative fusion pancakes and Hong Kong-style "cart noodles." Beyond food, the mall is a dense ecosystem of essential services—tucked away in its winding corners, you'll find family clinics, local hair salons, hardware stores, and tiny boutiques selling everything from trendy phone cases to traditional dried goods. For many in Tin Shui Wai, it is more than just a place to shop; it is a vital community hub where the atmosphere is busy, unpretentious, and deeply rooted in the neighborhood's history.</t>
  </si>
  <si>
    <t>Located just to the west of Lau Fau Shan is Ha Pak Nai, widely celebrated as the premier spot in Hong Kong for witnessing the sunset. As the tide recedes, the vast mudflats transform into a natural mirror, reflecting the sky's shifting colors in the shallow, still waters. The landscape is dotted with dense mangroves and weathered oyster beds, forming a unique ecosystem that serves as a sanctuary for rare horseshoe crabs and migratory birds. Looking across Deep Bay, the towering skyscrapers of Shenzhen's Shekou district create a striking contrast against the tranquil coastline. Beyond its natural beauty, the area holds significant historical weight; hidden within the village is a fortified structure dating back to the 1911 Revolution, now a declared monument. Unlike the bustling seafood markets nearby, Ha Pak Nai offers a quiet, reflective atmosphere where the rhythm of the tides and the history of the frontier converge.</t>
  </si>
  <si>
    <t>About 20 minutes by double-decker bus or minibus from MTR Tin Shui Wai Station lies Lau Fau Shan, a seafood town overlooking Shenzhen in Mainland China.After hopping off the bus and wandering down a narrow alleyway, you'll find yourself flanked by a dense row of seafood restaurants and shops selling fresh catches and dried goods. As you emerge from the passage, the view suddenly opens up to the sea. There is a large square where the skyline of Shenzhen's skyscrapers stretches across the water. To your left, you can see the Shenzhen Bay Bridge spanning the waves, which carries travelers by car to the immigration checkpoint in western Shenzhen. The square also features a sculpture of an oyster—the local specialty—making it a perfect "Instagrammable" spot. Along the alley you walked through, you can enjoy ginger-infused sweets and tofu fa (tofu pudding) in addition to seafood, making it a great place for a quick break. It is a town that offers a seafood experience with a vibe quite distinct from the outlying islands or Sai Kung. While the town remains famous for its seafood restaurants today, the local oysters have lost some of their former glory, reportedly due to pollution from the Shenzhen side. Right nearby, vast wetlands stretch across the landscape, and there is an observation deck on the hill of Lau Fau Shan where you can look out over the entire marshy expanse. With Shenzhen situated directly on the opposite bank, you can clearly see the buildings on the other side with the naked eye.</t>
  </si>
  <si>
    <t>Situated in the southern reaches of Yuen Long, Tai Tong Country Park serves as a lush, sprawling escape for city dwellers and is arguably most famous for its seasonal transformation. While Hong Kong is primarily known for its tropical greenery, Tai Tong offers a rare spectacle of "autumn red." Every year between December and January, the Sweet Gum Woods (Liquidambar formosana) along the Tai Tong Shan Road turn various shades of amber, orange, and deep crimson. This phenomenon draws thousands of visitors who come to witness the maple-like foliage, making the narrow road a vibrant, bustling promenade of photographers and families. Beyond the seasonal colors, the park is a gateway to the extensive Tai Lam Country Park, which is the second-largest in Hong Kong. From the Tai Tong entrance, hikers can access the final section (Section 10) of the famous MacLehose Trail, leading toward the tranquil waters of the Tai Lam Chung Reservoir, often referred to as the "Thousand Islands Lake" for its stunning archipelago-like views. The park's infrastructure is well-developed, featuring expansive barbecue pits and picnic sites shaded by towering pine and eucalyptus trees, providing a cool respite even during the humid summer months. The terrain here is accessible yet varied. For those looking for a leisurely stroll, the paved slopes of the Tai Tong Nature Trail offer educational insights into local ecology and geology. For more adventurous explorers, the connecting mountain paths lead to higher elevations, offering sweeping panoramic views of the Yuen Long Plain, the village clusters of Shap Pat Heung, and the distant skyline of Shenzhen across the border. Historically, the area was once a center for forestry and agriculture; today, the nearby Tai Tong Organic Ecopark carries on this legacy, allowing visitors to experience strawberry picking and pony rides, adding a layer of rural charm to the mountainous landscape.</t>
  </si>
  <si>
    <t>Located on the northern edge of Tin Shui Wai in the New Territories, the Hong Kong Wetland Park is a world-class conservation, education, and tourism facility that serves as a vital ecological mitigation area for the surrounding urban development. Spanning over sixty hectares, the park is divided into a large indoor visitor center known as the Wetland Interactive World and an expansive outdoor Wetland Reserve that showcases the diversity of Hong Kong's wetland ecosystems. The journey typically begins in the visitor center, which houses themed exhibition galleries, a 3D cinema, and an indoor swamp adventure play area, providing a high-tech introduction to the importance of wetland conservation before guests venture into the natural habitats. Once outside, the park unfolds into a series of meticulously maintained environments, including the Stream Walk, the Dragonfly Pond, and the Butterfly Garden, where visitors can observe local flora and fauna in their native settings. One of the park's most famous residents is Pui Pui, a salt-water crocodile discovered in the Shan Pui River, who now lives in a dedicated outdoor enclosure designed to mimic her natural habitat. The park is particularly renowned for its Mangrove Boardwalk, a floating path that allows visitors to walk directly over the mudflats to see mudskippers, fiddler crabs, and various mangrove species up close without disturbing the delicate soil. For birdwatchers, the park is a premier destination, especially during the migratory season when thousands of birds stop over in the marshes and freshwater ponds; several three-story bird hides equipped with telescopes are strategically placed around the reserve, offering silent vantage points to observe rare species like the black-faced spoonbill. The landscape provides a striking visual contrast, where the tranquil, horizontal expanse of reeds and water is framed by the vertical forest of high-rise residential towers in Tin Shui Wai, serving as a constant reminder of the delicate balance between urban growth and environmental preservation. Throughout the year, the park hosts various educational workshops and guided tours that highlight the functions of wetlands in water purification and flood control, making it a critical hub for environmental research and community engagement. Whether exploring the Successive Exhibition Galleries or trekking through the Wildside Walk, visitors experience a side of Hong Kong that feels worlds away from the city's neon-lit streets, defined instead by the rhythmic sounds of cicadas and the sight of herons gliding over the water at dusk.</t>
  </si>
  <si>
    <t>If you're looking for a shopping experience that feels a world away from the shiny, cookie-cutter malls in the city center, you've got to check out Tin Sau Bazaar in Tin Shui Wai North, which is basically this open-air grid of about 130 tiny stalls run by the Tung Wah Group of Hospitals to help out the local grassroots community. I stumbled upon it while visiting the nearby Wetland Park, and it has such a raw, neighborhood vibe where you can find everything from super cheap household hardware and stationery to those random little hair salons and garment alteration shops that you don't see much of anymore. It's definitely not fancy—the shops are all housed in these uniform, prefabricated containers lined up in rows—but there's something really authentic about seeing the elderly residents from the surrounding public housing estates chatting with the stall owners, who are often locals themselves trying to make a living with the lower rents. You can pick up daily necessities like dried seafood, fresh eggs, or even some surprisingly good street snacks and halal food for way less than what you'd pay at a chain supermarket, though you have to be prepared for the weather since it's entirely outdoors. I went on a humid afternoon and it was pretty scorching even with the big sun umbrellas they've installed, but when a breeze kicks in or during the cooler months, it's actually a nice place to just wander and see the "real" side of life in the New Territories. It's got a bit of a "dawn market" legacy since it was built to give illegal street hawkers a permanent home, and while it's sometimes a bit quiet on weekdays, it really comes alive during their weekend arts fairs or community events. It might not be a tourist destination in the traditional sense, but if you value social enterprises and want to support a place that actually helps low-income families while finding some hidden gems for a few dollars, it's worth the short Light Rail trip to the Tin Sau stop.</t>
  </si>
  <si>
    <t>Anytime</t>
  </si>
  <si>
    <t>Daytime</t>
  </si>
  <si>
    <t>MTR</t>
  </si>
  <si>
    <t>ryld001</t>
  </si>
  <si>
    <t>Wing Shun Restaurant</t>
  </si>
  <si>
    <t>cuisine</t>
  </si>
  <si>
    <t>Chinese</t>
  </si>
  <si>
    <t>famous_dish</t>
  </si>
  <si>
    <t>opening_time</t>
  </si>
  <si>
    <t>Satay Beef Noodle</t>
  </si>
  <si>
    <t>type</t>
  </si>
  <si>
    <t>Cha Chaan Teng</t>
  </si>
  <si>
    <t>MTR, Bus, Light Rail</t>
  </si>
  <si>
    <t>0630-1730</t>
  </si>
  <si>
    <t>51-100</t>
  </si>
  <si>
    <t>ryld002</t>
  </si>
  <si>
    <t>LokWu Noodles</t>
  </si>
  <si>
    <t>Knife Cut Noodles</t>
  </si>
  <si>
    <t>1200-2200</t>
  </si>
  <si>
    <t>ryld003</t>
  </si>
  <si>
    <t>rtmd001</t>
  </si>
  <si>
    <t>雲川</t>
  </si>
  <si>
    <t>Rice Noodles</t>
  </si>
  <si>
    <t>1100-2230</t>
  </si>
  <si>
    <t>rtmd002</t>
  </si>
  <si>
    <t>很得輝</t>
  </si>
  <si>
    <t>Snacks</t>
  </si>
  <si>
    <t>Hong Kong</t>
  </si>
  <si>
    <t>Fried Chicken</t>
  </si>
  <si>
    <t>&lt;50</t>
  </si>
  <si>
    <t>1230-0200</t>
  </si>
  <si>
    <t>rtmd003</t>
  </si>
  <si>
    <t>劉興記生煎包專門店</t>
  </si>
  <si>
    <t>Shengjian Mantou (Pan Fried Bun)</t>
  </si>
  <si>
    <t>1130-2030</t>
  </si>
  <si>
    <t>1986正宗越南料理 VIETNAMESE RESTAURANT</t>
  </si>
  <si>
    <t>Restaurant</t>
  </si>
  <si>
    <t>Vietnamese</t>
  </si>
  <si>
    <t>Pho (Vietnamese Noodle)</t>
  </si>
  <si>
    <t>50-100</t>
  </si>
  <si>
    <t>1100-2030</t>
  </si>
  <si>
    <t>rtwd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</si>
</sst>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theme="1"/>
      <name val="Aptos Narrow"/>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A1562-3E79-344E-9B82-D003F5E54972}">
  <dimension ref="A1:K50"/>
  <sheetViews>
    <sheetView zoomScale="143" workbookViewId="0">
      <selection sqref="A1:XFD1"/>
    </sheetView>
  </sheetViews>
  <sheetFormatPr baseColWidth="10" defaultRowHeight="16" x14ac:dyDescent="0.2"/>
  <cols>
    <col min="2" max="2" width="26.83203125" customWidth="1"/>
    <col min="3" max="3" width="16" bestFit="1" customWidth="1"/>
    <col min="4" max="4" width="22.6640625" bestFit="1" customWidth="1"/>
    <col min="5" max="5" width="19.6640625" bestFit="1" customWidth="1"/>
    <col min="6" max="6" width="52.1640625" customWidth="1"/>
    <col min="9" max="9" width="255.6640625" customWidth="1"/>
    <col min="10" max="10" width="42.1640625" customWidth="1"/>
    <col min="11" max="11" width="12.33203125" bestFit="1" customWidth="1"/>
  </cols>
  <sheetData>
    <row r="1" spans="1:11" x14ac:dyDescent="0.2">
      <c r="A1" t="s">
        <v>0</v>
      </c>
      <c r="B1" t="s">
        <v>10</v>
      </c>
      <c r="C1" t="s">
        <v>1</v>
      </c>
      <c r="D1" t="s">
        <v>2</v>
      </c>
      <c r="E1" t="s">
        <v>3</v>
      </c>
      <c r="F1" t="s">
        <v>4</v>
      </c>
      <c r="G1" t="s">
        <v>5</v>
      </c>
      <c r="H1" t="s">
        <v>6</v>
      </c>
      <c r="I1" t="s">
        <v>7</v>
      </c>
      <c r="J1" t="s">
        <v>8</v>
      </c>
      <c r="K1" t="s">
        <v>9</v>
      </c>
    </row>
    <row r="2" spans="1:11" x14ac:dyDescent="0.2">
      <c r="A2" t="s">
        <v>46</v>
      </c>
      <c r="B2" s="1" t="s">
        <v>47</v>
      </c>
      <c r="C2" t="str">
        <f>IF(A2&lt;&gt;"", _xlfn.IFNA(VLOOKUP(RIGHT(LEFT(A2,4),3),'District LookUp Table'!$A$2:$B$18,2,FALSE), "NOT FOUND"), "")</f>
        <v>Yuen Long</v>
      </c>
      <c r="D2" t="s">
        <v>48</v>
      </c>
      <c r="E2" t="s">
        <v>52</v>
      </c>
      <c r="G2" t="s">
        <v>71</v>
      </c>
      <c r="H2" t="s">
        <v>133</v>
      </c>
      <c r="I2" t="s">
        <v>127</v>
      </c>
      <c r="K2" t="s">
        <v>98</v>
      </c>
    </row>
    <row r="3" spans="1:11" x14ac:dyDescent="0.2">
      <c r="A3" t="s">
        <v>75</v>
      </c>
      <c r="B3" t="s">
        <v>76</v>
      </c>
      <c r="C3" t="str">
        <f>IF(A3&lt;&gt;"", _xlfn.IFNA(VLOOKUP(RIGHT(LEFT(A3,4),3),'District LookUp Table'!$A$2:$B$18,2,FALSE), "NOT FOUND"), "")</f>
        <v>Yuen Long</v>
      </c>
      <c r="D3" t="s">
        <v>77</v>
      </c>
      <c r="E3" t="s">
        <v>50</v>
      </c>
      <c r="F3" t="s">
        <v>74</v>
      </c>
      <c r="G3" t="s">
        <v>70</v>
      </c>
      <c r="H3" t="s">
        <v>78</v>
      </c>
      <c r="I3" t="s">
        <v>128</v>
      </c>
      <c r="K3" t="s">
        <v>79</v>
      </c>
    </row>
    <row r="4" spans="1:11" x14ac:dyDescent="0.2">
      <c r="A4" t="s">
        <v>80</v>
      </c>
      <c r="B4" t="s">
        <v>81</v>
      </c>
      <c r="C4" t="str">
        <f>IF(A4&lt;&gt;"", _xlfn.IFNA(VLOOKUP(RIGHT(LEFT(A4,4),3),'District LookUp Table'!$A$2:$B$18,2,FALSE), "NOT FOUND"), "")</f>
        <v>Yuen Long</v>
      </c>
      <c r="D4" t="s">
        <v>82</v>
      </c>
      <c r="E4" t="s">
        <v>52</v>
      </c>
      <c r="F4" t="s">
        <v>83</v>
      </c>
      <c r="G4" t="s">
        <v>72</v>
      </c>
      <c r="H4" t="s">
        <v>134</v>
      </c>
      <c r="I4" t="s">
        <v>129</v>
      </c>
      <c r="K4" t="s">
        <v>84</v>
      </c>
    </row>
    <row r="5" spans="1:11" x14ac:dyDescent="0.2">
      <c r="A5" t="s">
        <v>85</v>
      </c>
      <c r="B5" t="s">
        <v>86</v>
      </c>
      <c r="C5" t="str">
        <f>IF(A5&lt;&gt;"", _xlfn.IFNA(VLOOKUP(RIGHT(LEFT(A5,4),3),'District LookUp Table'!$A$2:$B$18,2,FALSE), "NOT FOUND"), "")</f>
        <v>Yuen Long</v>
      </c>
      <c r="D5" t="s">
        <v>88</v>
      </c>
      <c r="E5" t="s">
        <v>53</v>
      </c>
      <c r="F5" t="s">
        <v>87</v>
      </c>
      <c r="G5" t="s">
        <v>71</v>
      </c>
      <c r="H5" t="s">
        <v>134</v>
      </c>
      <c r="I5" t="s">
        <v>89</v>
      </c>
      <c r="K5" t="s">
        <v>79</v>
      </c>
    </row>
    <row r="6" spans="1:11" x14ac:dyDescent="0.2">
      <c r="A6" t="s">
        <v>90</v>
      </c>
      <c r="B6" t="s">
        <v>91</v>
      </c>
      <c r="C6" t="str">
        <f>IF(A6&lt;&gt;"", _xlfn.IFNA(VLOOKUP(RIGHT(LEFT(A6,4),3),'District LookUp Table'!$A$2:$B$18,2,FALSE), "NOT FOUND"), "")</f>
        <v>Yuen Long</v>
      </c>
      <c r="D6" t="s">
        <v>92</v>
      </c>
      <c r="E6" t="s">
        <v>50</v>
      </c>
      <c r="F6" t="s">
        <v>94</v>
      </c>
      <c r="G6" t="s">
        <v>70</v>
      </c>
      <c r="H6" t="s">
        <v>134</v>
      </c>
      <c r="I6" t="s">
        <v>130</v>
      </c>
      <c r="K6" t="s">
        <v>84</v>
      </c>
    </row>
    <row r="7" spans="1:11" x14ac:dyDescent="0.2">
      <c r="A7" t="s">
        <v>95</v>
      </c>
      <c r="B7" t="s">
        <v>96</v>
      </c>
      <c r="C7" t="str">
        <f>IF(A7&lt;&gt;"", _xlfn.IFNA(VLOOKUP(RIGHT(LEFT(A7,4),3),'District LookUp Table'!$A$2:$B$18,2,FALSE), "NOT FOUND"), "")</f>
        <v>Yuen Long</v>
      </c>
      <c r="D7" t="s">
        <v>97</v>
      </c>
      <c r="E7" t="s">
        <v>50</v>
      </c>
      <c r="G7" t="s">
        <v>71</v>
      </c>
      <c r="H7" t="s">
        <v>134</v>
      </c>
      <c r="I7" t="s">
        <v>131</v>
      </c>
      <c r="K7" t="s">
        <v>98</v>
      </c>
    </row>
    <row r="8" spans="1:11" x14ac:dyDescent="0.2">
      <c r="A8" t="s">
        <v>99</v>
      </c>
      <c r="B8" t="s">
        <v>100</v>
      </c>
      <c r="C8" t="str">
        <f>IF(A8&lt;&gt;"", _xlfn.IFNA(VLOOKUP(RIGHT(LEFT(A8,4),3),'District LookUp Table'!$A$2:$B$18,2,FALSE), "NOT FOUND"), "")</f>
        <v>Yuen Long</v>
      </c>
      <c r="D8" t="s">
        <v>101</v>
      </c>
      <c r="E8" t="s">
        <v>51</v>
      </c>
      <c r="G8" t="s">
        <v>71</v>
      </c>
      <c r="H8" t="s">
        <v>133</v>
      </c>
      <c r="I8" t="s">
        <v>132</v>
      </c>
      <c r="K8" t="s">
        <v>98</v>
      </c>
    </row>
    <row r="9" spans="1:11" x14ac:dyDescent="0.2">
      <c r="A9" t="s">
        <v>102</v>
      </c>
      <c r="B9" t="s">
        <v>123</v>
      </c>
      <c r="C9" t="str">
        <f>IF(A9&lt;&gt;"", _xlfn.IFNA(VLOOKUP(RIGHT(LEFT(A9,4),3),'District LookUp Table'!$A$2:$B$18,2,FALSE), "NOT FOUND"), "")</f>
        <v>Yuen Long</v>
      </c>
      <c r="D9" t="s">
        <v>124</v>
      </c>
      <c r="E9" t="s">
        <v>53</v>
      </c>
      <c r="F9" t="s">
        <v>126</v>
      </c>
      <c r="G9" t="s">
        <v>72</v>
      </c>
      <c r="H9" t="s">
        <v>134</v>
      </c>
      <c r="K9" t="s">
        <v>135</v>
      </c>
    </row>
    <row r="10" spans="1:11" x14ac:dyDescent="0.2">
      <c r="A10" t="s">
        <v>103</v>
      </c>
      <c r="C10" t="str">
        <f>IF(A10&lt;&gt;"", _xlfn.IFNA(VLOOKUP(RIGHT(LEFT(A10,4),3),'District LookUp Table'!$A$2:$B$18,2,FALSE), "NOT FOUND"), "")</f>
        <v>Yuen Long</v>
      </c>
    </row>
    <row r="11" spans="1:11" x14ac:dyDescent="0.2">
      <c r="A11" t="s">
        <v>104</v>
      </c>
      <c r="C11" t="str">
        <f>IF(A11&lt;&gt;"", _xlfn.IFNA(VLOOKUP(RIGHT(LEFT(A11,4),3),'District LookUp Table'!$A$2:$B$18,2,FALSE), "NOT FOUND"), "")</f>
        <v>Yuen Long</v>
      </c>
    </row>
    <row r="12" spans="1:11" x14ac:dyDescent="0.2">
      <c r="A12" t="s">
        <v>45</v>
      </c>
      <c r="B12" t="s">
        <v>105</v>
      </c>
      <c r="C12" t="str">
        <f>IF(A12&lt;&gt;"", _xlfn.IFNA(VLOOKUP(RIGHT(LEFT(A12,4),3),'District LookUp Table'!$A$2:$B$18,2,FALSE), "NOT FOUND"), "")</f>
        <v>Tuen Mun</v>
      </c>
      <c r="D12" t="s">
        <v>106</v>
      </c>
      <c r="E12" t="s">
        <v>50</v>
      </c>
      <c r="G12" t="s">
        <v>70</v>
      </c>
      <c r="H12" t="s">
        <v>78</v>
      </c>
      <c r="K12" t="s">
        <v>84</v>
      </c>
    </row>
    <row r="13" spans="1:11" x14ac:dyDescent="0.2">
      <c r="A13" t="s">
        <v>107</v>
      </c>
      <c r="B13" t="s">
        <v>108</v>
      </c>
      <c r="C13" t="str">
        <f>IF(A13&lt;&gt;"", _xlfn.IFNA(VLOOKUP(RIGHT(LEFT(A13,4),3),'District LookUp Table'!$A$2:$B$18,2,FALSE), "NOT FOUND"), "")</f>
        <v>Tuen Mun</v>
      </c>
      <c r="D13" t="s">
        <v>109</v>
      </c>
      <c r="E13" t="s">
        <v>54</v>
      </c>
      <c r="G13" t="s">
        <v>70</v>
      </c>
      <c r="K13" t="s">
        <v>84</v>
      </c>
    </row>
    <row r="14" spans="1:11" x14ac:dyDescent="0.2">
      <c r="A14" t="s">
        <v>110</v>
      </c>
      <c r="B14" t="s">
        <v>112</v>
      </c>
      <c r="C14" t="str">
        <f>IF(A14&lt;&gt;"", _xlfn.IFNA(VLOOKUP(RIGHT(LEFT(A14,4),3),'District LookUp Table'!$A$2:$B$18,2,FALSE), "NOT FOUND"), "")</f>
        <v>Tuen Mun</v>
      </c>
      <c r="D14" t="s">
        <v>111</v>
      </c>
      <c r="E14" t="s">
        <v>53</v>
      </c>
      <c r="G14" t="s">
        <v>70</v>
      </c>
      <c r="K14" t="s">
        <v>84</v>
      </c>
    </row>
    <row r="15" spans="1:11" x14ac:dyDescent="0.2">
      <c r="A15" t="s">
        <v>113</v>
      </c>
      <c r="B15" t="s">
        <v>115</v>
      </c>
      <c r="C15" t="str">
        <f>IF(A15&lt;&gt;"", _xlfn.IFNA(VLOOKUP(RIGHT(LEFT(A15,4),3),'District LookUp Table'!$A$2:$B$18,2,FALSE), "NOT FOUND"), "")</f>
        <v>Tuen Mun</v>
      </c>
      <c r="D15" t="s">
        <v>114</v>
      </c>
      <c r="E15" t="s">
        <v>50</v>
      </c>
      <c r="F15" t="s">
        <v>93</v>
      </c>
      <c r="G15" t="s">
        <v>70</v>
      </c>
      <c r="K15" t="s">
        <v>116</v>
      </c>
    </row>
    <row r="16" spans="1:11" x14ac:dyDescent="0.2">
      <c r="C16" t="str">
        <f>IF(A16&lt;&gt;"", _xlfn.IFNA(VLOOKUP(RIGHT(LEFT(A16,4),3),'District LookUp Table'!$A$2:$B$18,2,FALSE), "NOT FOUND"), "")</f>
        <v/>
      </c>
    </row>
    <row r="17" spans="1:3" x14ac:dyDescent="0.2">
      <c r="C17" t="str">
        <f>IF(A17&lt;&gt;"", _xlfn.IFNA(VLOOKUP(RIGHT(LEFT(A17,4),3),'District LookUp Table'!$A$2:$B$18,2,FALSE), "NOT FOUND"), "")</f>
        <v/>
      </c>
    </row>
    <row r="18" spans="1:3" x14ac:dyDescent="0.2">
      <c r="C18" t="str">
        <f>IF(A18&lt;&gt;"", _xlfn.IFNA(VLOOKUP(RIGHT(LEFT(A18,4),3),'District LookUp Table'!$A$2:$B$18,2,FALSE), "NOT FOUND"), "")</f>
        <v/>
      </c>
    </row>
    <row r="19" spans="1:3" x14ac:dyDescent="0.2">
      <c r="C19" t="str">
        <f>IF(A19&lt;&gt;"", _xlfn.IFNA(VLOOKUP(RIGHT(LEFT(A19,4),3),'District LookUp Table'!$A$2:$B$18,2,FALSE), "NOT FOUND"), "")</f>
        <v/>
      </c>
    </row>
    <row r="20" spans="1:3" x14ac:dyDescent="0.2">
      <c r="C20" t="str">
        <f>IF(A20&lt;&gt;"", _xlfn.IFNA(VLOOKUP(RIGHT(LEFT(A20,4),3),'District LookUp Table'!$A$2:$B$18,2,FALSE), "NOT FOUND"), "")</f>
        <v/>
      </c>
    </row>
    <row r="21" spans="1:3" x14ac:dyDescent="0.2">
      <c r="C21" t="str">
        <f>IF(A21&lt;&gt;"", _xlfn.IFNA(VLOOKUP(RIGHT(LEFT(A21,4),3),'District LookUp Table'!$A$2:$B$18,2,FALSE), "NOT FOUND"), "")</f>
        <v/>
      </c>
    </row>
    <row r="22" spans="1:3" x14ac:dyDescent="0.2">
      <c r="A22" t="s">
        <v>117</v>
      </c>
      <c r="B22" t="s">
        <v>118</v>
      </c>
      <c r="C22" t="str">
        <f>IF(A22&lt;&gt;"", _xlfn.IFNA(VLOOKUP(RIGHT(LEFT(A22,4),3),'District LookUp Table'!$A$2:$B$18,2,FALSE), "NOT FOUND"), "")</f>
        <v>Sai Kung</v>
      </c>
    </row>
    <row r="23" spans="1:3" x14ac:dyDescent="0.2">
      <c r="C23" t="str">
        <f>IF(A23&lt;&gt;"", _xlfn.IFNA(VLOOKUP(RIGHT(LEFT(A23,4),3),'District LookUp Table'!$A$2:$B$18,2,FALSE), "NOT FOUND"), "")</f>
        <v/>
      </c>
    </row>
    <row r="24" spans="1:3" x14ac:dyDescent="0.2">
      <c r="C24" t="str">
        <f>IF(A24&lt;&gt;"", _xlfn.IFNA(VLOOKUP(RIGHT(LEFT(A24,4),3),'District LookUp Table'!$A$2:$B$18,2,FALSE), "NOT FOUND"), "")</f>
        <v/>
      </c>
    </row>
    <row r="25" spans="1:3" x14ac:dyDescent="0.2">
      <c r="C25" t="str">
        <f>IF(A25&lt;&gt;"", _xlfn.IFNA(VLOOKUP(RIGHT(LEFT(A25,4),3),'District LookUp Table'!$A$2:$B$18,2,FALSE), "NOT FOUND"), "")</f>
        <v/>
      </c>
    </row>
    <row r="26" spans="1:3" x14ac:dyDescent="0.2">
      <c r="C26" t="str">
        <f>IF(A26&lt;&gt;"", _xlfn.IFNA(VLOOKUP(RIGHT(LEFT(A26,4),3),'District LookUp Table'!$A$2:$B$18,2,FALSE), "NOT FOUND"), "")</f>
        <v/>
      </c>
    </row>
    <row r="27" spans="1:3" x14ac:dyDescent="0.2">
      <c r="C27" t="str">
        <f>IF(A27&lt;&gt;"", _xlfn.IFNA(VLOOKUP(RIGHT(LEFT(A27,4),3),'District LookUp Table'!$A$2:$B$18,2,FALSE), "NOT FOUND"), "")</f>
        <v/>
      </c>
    </row>
    <row r="28" spans="1:3" x14ac:dyDescent="0.2">
      <c r="C28" t="str">
        <f>IF(A28&lt;&gt;"", _xlfn.IFNA(VLOOKUP(RIGHT(LEFT(A28,4),3),'District LookUp Table'!$A$2:$B$18,2,FALSE), "NOT FOUND"), "")</f>
        <v/>
      </c>
    </row>
    <row r="29" spans="1:3" x14ac:dyDescent="0.2">
      <c r="C29" t="str">
        <f>IF(A29&lt;&gt;"", _xlfn.IFNA(VLOOKUP(RIGHT(LEFT(A29,4),3),'District LookUp Table'!$A$2:$B$18,2,FALSE), "NOT FOUND"), "")</f>
        <v/>
      </c>
    </row>
    <row r="30" spans="1:3" x14ac:dyDescent="0.2">
      <c r="C30" t="str">
        <f>IF(A30&lt;&gt;"", _xlfn.IFNA(VLOOKUP(RIGHT(LEFT(A30,4),3),'District LookUp Table'!$A$2:$B$18,2,FALSE), "NOT FOUND"), "")</f>
        <v/>
      </c>
    </row>
    <row r="31" spans="1:3" x14ac:dyDescent="0.2">
      <c r="C31" t="str">
        <f>IF(A31&lt;&gt;"", _xlfn.IFNA(VLOOKUP(RIGHT(LEFT(A31,4),3),'District LookUp Table'!$A$2:$B$18,2,FALSE), "NOT FOUND"), "")</f>
        <v/>
      </c>
    </row>
    <row r="32" spans="1:3" x14ac:dyDescent="0.2">
      <c r="A32" t="s">
        <v>119</v>
      </c>
      <c r="B32" t="s">
        <v>120</v>
      </c>
      <c r="C32" t="str">
        <f>IF(A32&lt;&gt;"", _xlfn.IFNA(VLOOKUP(RIGHT(LEFT(A32,4),3),'District LookUp Table'!$A$2:$B$18,2,FALSE), "NOT FOUND"), "")</f>
        <v>Tai Po</v>
      </c>
    </row>
    <row r="33" spans="1:3" x14ac:dyDescent="0.2">
      <c r="A33" t="s">
        <v>121</v>
      </c>
      <c r="B33" t="s">
        <v>122</v>
      </c>
      <c r="C33" t="str">
        <f>IF(A33&lt;&gt;"", _xlfn.IFNA(VLOOKUP(RIGHT(LEFT(A33,4),3),'District LookUp Table'!$A$2:$B$18,2,FALSE), "NOT FOUND"), "")</f>
        <v>Tai Po</v>
      </c>
    </row>
    <row r="34" spans="1:3" x14ac:dyDescent="0.2">
      <c r="C34" t="str">
        <f>IF(A34&lt;&gt;"", _xlfn.IFNA(VLOOKUP(RIGHT(LEFT(A34,4),3),'District LookUp Table'!$A$2:$B$18,2,FALSE), "NOT FOUND"), "")</f>
        <v/>
      </c>
    </row>
    <row r="35" spans="1:3" x14ac:dyDescent="0.2">
      <c r="C35" t="str">
        <f>IF(A35&lt;&gt;"", _xlfn.IFNA(VLOOKUP(RIGHT(LEFT(A35,4),3),'District LookUp Table'!$A$2:$B$18,2,FALSE), "NOT FOUND"), "")</f>
        <v/>
      </c>
    </row>
    <row r="36" spans="1:3" x14ac:dyDescent="0.2">
      <c r="C36" t="str">
        <f>IF(A36&lt;&gt;"", _xlfn.IFNA(VLOOKUP(RIGHT(LEFT(A36,4),3),'District LookUp Table'!$A$2:$B$18,2,FALSE), "NOT FOUND"), "")</f>
        <v/>
      </c>
    </row>
    <row r="37" spans="1:3" x14ac:dyDescent="0.2">
      <c r="C37" t="str">
        <f>IF(A37&lt;&gt;"", _xlfn.IFNA(VLOOKUP(RIGHT(LEFT(A37,4),3),'District LookUp Table'!$A$2:$B$18,2,FALSE), "NOT FOUND"), "")</f>
        <v/>
      </c>
    </row>
    <row r="38" spans="1:3" x14ac:dyDescent="0.2">
      <c r="C38" t="str">
        <f>IF(A38&lt;&gt;"", _xlfn.IFNA(VLOOKUP(RIGHT(LEFT(A38,4),3),'District LookUp Table'!$A$2:$B$18,2,FALSE), "NOT FOUND"), "")</f>
        <v/>
      </c>
    </row>
    <row r="39" spans="1:3" x14ac:dyDescent="0.2">
      <c r="C39" t="str">
        <f>IF(A39&lt;&gt;"", _xlfn.IFNA(VLOOKUP(RIGHT(LEFT(A39,4),3),'District LookUp Table'!$A$2:$B$18,2,FALSE), "NOT FOUND"), "")</f>
        <v/>
      </c>
    </row>
    <row r="40" spans="1:3" x14ac:dyDescent="0.2">
      <c r="C40" t="str">
        <f>IF(A40&lt;&gt;"", _xlfn.IFNA(VLOOKUP(RIGHT(LEFT(A40,4),3),'District LookUp Table'!$A$2:$B$18,2,FALSE), "NOT FOUND"), "")</f>
        <v/>
      </c>
    </row>
    <row r="41" spans="1:3" x14ac:dyDescent="0.2">
      <c r="C41" t="str">
        <f>IF(A41&lt;&gt;"", _xlfn.IFNA(VLOOKUP(RIGHT(LEFT(A41,4),3),'District LookUp Table'!$A$2:$B$18,2,FALSE), "NOT FOUND"), "")</f>
        <v/>
      </c>
    </row>
    <row r="42" spans="1:3" x14ac:dyDescent="0.2">
      <c r="C42" t="str">
        <f>IF(A42&lt;&gt;"", _xlfn.IFNA(VLOOKUP(RIGHT(LEFT(A42,4),3),'District LookUp Table'!$A$2:$B$18,2,FALSE), "NOT FOUND"), "")</f>
        <v/>
      </c>
    </row>
    <row r="43" spans="1:3" x14ac:dyDescent="0.2">
      <c r="C43" t="str">
        <f>IF(A43&lt;&gt;"", _xlfn.IFNA(VLOOKUP(RIGHT(LEFT(A43,4),3),'District LookUp Table'!$A$2:$B$18,2,FALSE), "NOT FOUND"), "")</f>
        <v/>
      </c>
    </row>
    <row r="44" spans="1:3" x14ac:dyDescent="0.2">
      <c r="C44" t="str">
        <f>IF(A44&lt;&gt;"", _xlfn.IFNA(VLOOKUP(RIGHT(LEFT(A44,4),3),'District LookUp Table'!$A$2:$B$18,2,FALSE), "NOT FOUND"), "")</f>
        <v/>
      </c>
    </row>
    <row r="45" spans="1:3" x14ac:dyDescent="0.2">
      <c r="C45" t="str">
        <f>IF(A45&lt;&gt;"", _xlfn.IFNA(VLOOKUP(RIGHT(LEFT(A45,4),3),'District LookUp Table'!$A$2:$B$18,2,FALSE), "NOT FOUND"), "")</f>
        <v/>
      </c>
    </row>
    <row r="46" spans="1:3" x14ac:dyDescent="0.2">
      <c r="C46" t="str">
        <f>IF(A46&lt;&gt;"", _xlfn.IFNA(VLOOKUP(RIGHT(LEFT(A46,4),3),'District LookUp Table'!$A$2:$B$18,2,FALSE), "NOT FOUND"), "")</f>
        <v/>
      </c>
    </row>
    <row r="47" spans="1:3" x14ac:dyDescent="0.2">
      <c r="C47" t="str">
        <f>IF(A47&lt;&gt;"", _xlfn.IFNA(VLOOKUP(RIGHT(LEFT(A47,4),3),'District LookUp Table'!$A$2:$B$18,2,FALSE), "NOT FOUND"), "")</f>
        <v/>
      </c>
    </row>
    <row r="48" spans="1:3" x14ac:dyDescent="0.2">
      <c r="C48" t="str">
        <f>IF(A48&lt;&gt;"", _xlfn.IFNA(VLOOKUP(RIGHT(LEFT(A48,4),3),'District LookUp Table'!$A$2:$B$18,2,FALSE), "NOT FOUND"), "")</f>
        <v/>
      </c>
    </row>
    <row r="49" spans="3:3" x14ac:dyDescent="0.2">
      <c r="C49" t="str">
        <f>IF(A49&lt;&gt;"", _xlfn.IFNA(VLOOKUP(RIGHT(LEFT(A49,4),3),'District LookUp Table'!$A$2:$B$18,2,FALSE), "NOT FOUND"), "")</f>
        <v/>
      </c>
    </row>
    <row r="50" spans="3:3" x14ac:dyDescent="0.2">
      <c r="C50" t="str">
        <f>IF(A50&lt;&gt;"", _xlfn.IFNA(VLOOKUP(RIGHT(LEFT(A50,4),3),'District LookUp Table'!$A$2:$B$18,2,FALSE), "NOT FOUND"), "")</f>
        <v/>
      </c>
    </row>
  </sheetData>
  <phoneticPr fontId="2" type="noConversion"/>
  <conditionalFormatting sqref="A1:A1048576">
    <cfRule type="duplicateValues" dxfId="4" priority="2"/>
  </conditionalFormatting>
  <conditionalFormatting sqref="C1:C1048576">
    <cfRule type="cellIs" dxfId="3" priority="1" operator="equal">
      <formula>"""NOT FOUND"""</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9DFAE57-EAC6-974F-A760-2F5C8E8327BC}">
          <x14:formula1>
            <xm:f>Tags!$A:$A-Tags!$A$1</xm:f>
          </x14:formula1>
          <xm:sqref>E51:E1048576</xm:sqref>
        </x14:dataValidation>
        <x14:dataValidation type="list" allowBlank="1" showInputMessage="1" showErrorMessage="1" xr:uid="{819E26B2-F3C9-854D-A0B9-24DB6E09716D}">
          <x14:formula1>
            <xm:f>Tags!$A$2:$A$10</xm:f>
          </x14:formula1>
          <xm:sqref>E2:E50</xm:sqref>
        </x14:dataValidation>
        <x14:dataValidation type="list" allowBlank="1" showInputMessage="1" showErrorMessage="1" xr:uid="{31DBD6AC-6924-3447-AE24-1562DA06A63B}">
          <x14:formula1>
            <xm:f>Tags!$C$2:$C$5</xm:f>
          </x14:formula1>
          <xm:sqref>G2:G50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1DCB9-6907-D741-96BC-AD60469A8BFE}">
  <dimension ref="A1:K50"/>
  <sheetViews>
    <sheetView tabSelected="1" zoomScale="164" workbookViewId="0">
      <selection activeCell="B8" sqref="B8"/>
    </sheetView>
  </sheetViews>
  <sheetFormatPr baseColWidth="10" defaultRowHeight="16" x14ac:dyDescent="0.2"/>
  <cols>
    <col min="2" max="2" width="27.83203125" customWidth="1"/>
    <col min="3" max="3" width="16" bestFit="1" customWidth="1"/>
    <col min="5" max="5" width="17.33203125" bestFit="1" customWidth="1"/>
    <col min="7" max="7" width="28.6640625" bestFit="1" customWidth="1"/>
    <col min="9" max="9" width="12" bestFit="1" customWidth="1"/>
    <col min="11" max="11" width="16.83203125" bestFit="1" customWidth="1"/>
  </cols>
  <sheetData>
    <row r="1" spans="1:11" x14ac:dyDescent="0.2">
      <c r="A1" t="s">
        <v>0</v>
      </c>
      <c r="B1" t="s">
        <v>10</v>
      </c>
      <c r="C1" t="s">
        <v>1</v>
      </c>
      <c r="D1" t="s">
        <v>2</v>
      </c>
      <c r="E1" t="s">
        <v>143</v>
      </c>
      <c r="F1" t="s">
        <v>138</v>
      </c>
      <c r="G1" t="s">
        <v>140</v>
      </c>
      <c r="H1" t="s">
        <v>5</v>
      </c>
      <c r="I1" t="s">
        <v>141</v>
      </c>
      <c r="J1" t="s">
        <v>7</v>
      </c>
      <c r="K1" t="s">
        <v>9</v>
      </c>
    </row>
    <row r="2" spans="1:11" x14ac:dyDescent="0.2">
      <c r="A2" t="s">
        <v>136</v>
      </c>
      <c r="B2" t="s">
        <v>137</v>
      </c>
      <c r="C2" t="str">
        <f>IF(A2&lt;&gt;"", _xlfn.IFNA(VLOOKUP(RIGHT(LEFT(A2,4),3),'District LookUp Table'!$A$2:$B$18,2,FALSE), "NOT FOUND"), "")</f>
        <v>Yuen Long</v>
      </c>
      <c r="E2" t="s">
        <v>144</v>
      </c>
      <c r="F2" t="s">
        <v>160</v>
      </c>
      <c r="G2" t="s">
        <v>142</v>
      </c>
      <c r="H2" t="s">
        <v>147</v>
      </c>
      <c r="I2" t="s">
        <v>146</v>
      </c>
      <c r="K2" t="s">
        <v>145</v>
      </c>
    </row>
    <row r="3" spans="1:11" x14ac:dyDescent="0.2">
      <c r="A3" t="s">
        <v>148</v>
      </c>
      <c r="B3" t="s">
        <v>149</v>
      </c>
      <c r="C3" t="str">
        <f>IF(A3&lt;&gt;"", _xlfn.IFNA(VLOOKUP(RIGHT(LEFT(A3,4),3),'District LookUp Table'!$A$2:$B$18,2,FALSE), "NOT FOUND"), "")</f>
        <v>Yuen Long</v>
      </c>
      <c r="E3" t="s">
        <v>169</v>
      </c>
      <c r="F3" t="s">
        <v>139</v>
      </c>
      <c r="G3" t="s">
        <v>150</v>
      </c>
      <c r="H3" t="s">
        <v>147</v>
      </c>
      <c r="I3" t="s">
        <v>151</v>
      </c>
      <c r="K3" t="s">
        <v>98</v>
      </c>
    </row>
    <row r="4" spans="1:11" x14ac:dyDescent="0.2">
      <c r="A4" t="s">
        <v>152</v>
      </c>
      <c r="B4" t="s">
        <v>165</v>
      </c>
      <c r="C4" t="str">
        <f>IF(A4&lt;&gt;"", _xlfn.IFNA(VLOOKUP(RIGHT(LEFT(A4,4),3),'District LookUp Table'!$A$2:$B$18,2,FALSE), "NOT FOUND"), "")</f>
        <v>Yuen Long</v>
      </c>
      <c r="E4" t="s">
        <v>169</v>
      </c>
      <c r="F4" t="s">
        <v>139</v>
      </c>
      <c r="G4" t="s">
        <v>166</v>
      </c>
      <c r="H4" t="s">
        <v>147</v>
      </c>
      <c r="I4" t="s">
        <v>167</v>
      </c>
      <c r="K4" t="s">
        <v>98</v>
      </c>
    </row>
    <row r="5" spans="1:11" x14ac:dyDescent="0.2">
      <c r="A5" t="s">
        <v>153</v>
      </c>
      <c r="B5" t="s">
        <v>154</v>
      </c>
      <c r="C5" t="str">
        <f>IF(A5&lt;&gt;"", _xlfn.IFNA(VLOOKUP(RIGHT(LEFT(A5,4),3),'District LookUp Table'!$A$2:$B$18,2,FALSE), "NOT FOUND"), "")</f>
        <v>Tuen Mun</v>
      </c>
      <c r="E5" t="s">
        <v>169</v>
      </c>
      <c r="F5" t="s">
        <v>139</v>
      </c>
      <c r="G5" t="s">
        <v>155</v>
      </c>
      <c r="H5" t="s">
        <v>147</v>
      </c>
      <c r="I5" t="s">
        <v>156</v>
      </c>
      <c r="K5" t="s">
        <v>98</v>
      </c>
    </row>
    <row r="6" spans="1:11" x14ac:dyDescent="0.2">
      <c r="A6" t="s">
        <v>157</v>
      </c>
      <c r="B6" t="s">
        <v>158</v>
      </c>
      <c r="C6" t="str">
        <f>IF(A6&lt;&gt;"", _xlfn.IFNA(VLOOKUP(RIGHT(LEFT(A6,4),3),'District LookUp Table'!$A$2:$B$18,2,FALSE), "NOT FOUND"), "")</f>
        <v>Tuen Mun</v>
      </c>
      <c r="E6" t="s">
        <v>159</v>
      </c>
      <c r="F6" t="s">
        <v>160</v>
      </c>
      <c r="G6" t="s">
        <v>161</v>
      </c>
      <c r="H6" t="s">
        <v>162</v>
      </c>
      <c r="I6" t="s">
        <v>163</v>
      </c>
      <c r="K6" t="s">
        <v>98</v>
      </c>
    </row>
    <row r="7" spans="1:11" ht="34" x14ac:dyDescent="0.2">
      <c r="A7" t="s">
        <v>164</v>
      </c>
      <c r="B7" s="2" t="s">
        <v>168</v>
      </c>
      <c r="C7" t="str">
        <f>IF(A7&lt;&gt;"", _xlfn.IFNA(VLOOKUP(RIGHT(LEFT(A7,4),3),'District LookUp Table'!$A$2:$B$18,2,FALSE), "NOT FOUND"), "")</f>
        <v>Tuen Mun</v>
      </c>
      <c r="E7" t="s">
        <v>169</v>
      </c>
      <c r="F7" t="s">
        <v>170</v>
      </c>
      <c r="G7" t="s">
        <v>171</v>
      </c>
      <c r="H7" t="s">
        <v>172</v>
      </c>
      <c r="I7" t="s">
        <v>173</v>
      </c>
      <c r="K7" t="s">
        <v>145</v>
      </c>
    </row>
    <row r="8" spans="1:11" x14ac:dyDescent="0.2">
      <c r="A8" t="s">
        <v>174</v>
      </c>
      <c r="C8" t="str">
        <f>IF(A8&lt;&gt;"", _xlfn.IFNA(VLOOKUP(RIGHT(LEFT(A8,4),3),'District LookUp Table'!$A$2:$B$18,2,FALSE), "NOT FOUND"), "")</f>
        <v>Tsuen Wan</v>
      </c>
    </row>
    <row r="9" spans="1:11" x14ac:dyDescent="0.2">
      <c r="C9" t="str">
        <f>IF(A9&lt;&gt;"", _xlfn.IFNA(VLOOKUP(RIGHT(LEFT(A9,4),3),'District LookUp Table'!$A$2:$B$18,2,FALSE), "NOT FOUND"), "")</f>
        <v/>
      </c>
    </row>
    <row r="10" spans="1:11" x14ac:dyDescent="0.2">
      <c r="C10" t="str">
        <f>IF(A10&lt;&gt;"", _xlfn.IFNA(VLOOKUP(RIGHT(LEFT(A10,4),3),'District LookUp Table'!$A$2:$B$18,2,FALSE), "NOT FOUND"), "")</f>
        <v/>
      </c>
    </row>
    <row r="11" spans="1:11" x14ac:dyDescent="0.2">
      <c r="C11" t="str">
        <f>IF(A11&lt;&gt;"", _xlfn.IFNA(VLOOKUP(RIGHT(LEFT(A11,4),3),'District LookUp Table'!$A$2:$B$18,2,FALSE), "NOT FOUND"), "")</f>
        <v/>
      </c>
    </row>
    <row r="12" spans="1:11" x14ac:dyDescent="0.2">
      <c r="C12" t="str">
        <f>IF(A12&lt;&gt;"", _xlfn.IFNA(VLOOKUP(RIGHT(LEFT(A12,4),3),'District LookUp Table'!$A$2:$B$18,2,FALSE), "NOT FOUND"), "")</f>
        <v/>
      </c>
    </row>
    <row r="13" spans="1:11" x14ac:dyDescent="0.2">
      <c r="C13" t="str">
        <f>IF(A13&lt;&gt;"", _xlfn.IFNA(VLOOKUP(RIGHT(LEFT(A13,4),3),'District LookUp Table'!$A$2:$B$18,2,FALSE), "NOT FOUND"), "")</f>
        <v/>
      </c>
    </row>
    <row r="14" spans="1:11" x14ac:dyDescent="0.2">
      <c r="C14" t="str">
        <f>IF(A14&lt;&gt;"", _xlfn.IFNA(VLOOKUP(RIGHT(LEFT(A14,4),3),'District LookUp Table'!$A$2:$B$18,2,FALSE), "NOT FOUND"), "")</f>
        <v/>
      </c>
    </row>
    <row r="15" spans="1:11" x14ac:dyDescent="0.2">
      <c r="C15" t="str">
        <f>IF(A15&lt;&gt;"", _xlfn.IFNA(VLOOKUP(RIGHT(LEFT(A15,4),3),'District LookUp Table'!$A$2:$B$18,2,FALSE), "NOT FOUND"), "")</f>
        <v/>
      </c>
    </row>
    <row r="16" spans="1:11" x14ac:dyDescent="0.2">
      <c r="C16" t="str">
        <f>IF(A16&lt;&gt;"", _xlfn.IFNA(VLOOKUP(RIGHT(LEFT(A16,4),3),'District LookUp Table'!$A$2:$B$18,2,FALSE), "NOT FOUND"), "")</f>
        <v/>
      </c>
    </row>
    <row r="17" spans="3:3" x14ac:dyDescent="0.2">
      <c r="C17" t="str">
        <f>IF(A17&lt;&gt;"", _xlfn.IFNA(VLOOKUP(RIGHT(LEFT(A17,4),3),'District LookUp Table'!$A$2:$B$18,2,FALSE), "NOT FOUND"), "")</f>
        <v/>
      </c>
    </row>
    <row r="18" spans="3:3" x14ac:dyDescent="0.2">
      <c r="C18" t="str">
        <f>IF(A18&lt;&gt;"", _xlfn.IFNA(VLOOKUP(RIGHT(LEFT(A18,4),3),'District LookUp Table'!$A$2:$B$18,2,FALSE), "NOT FOUND"), "")</f>
        <v/>
      </c>
    </row>
    <row r="19" spans="3:3" x14ac:dyDescent="0.2">
      <c r="C19" t="str">
        <f>IF(A19&lt;&gt;"", _xlfn.IFNA(VLOOKUP(RIGHT(LEFT(A19,4),3),'District LookUp Table'!$A$2:$B$18,2,FALSE), "NOT FOUND"), "")</f>
        <v/>
      </c>
    </row>
    <row r="20" spans="3:3" x14ac:dyDescent="0.2">
      <c r="C20" t="str">
        <f>IF(A20&lt;&gt;"", _xlfn.IFNA(VLOOKUP(RIGHT(LEFT(A20,4),3),'District LookUp Table'!$A$2:$B$18,2,FALSE), "NOT FOUND"), "")</f>
        <v/>
      </c>
    </row>
    <row r="21" spans="3:3" x14ac:dyDescent="0.2">
      <c r="C21" t="str">
        <f>IF(A21&lt;&gt;"", _xlfn.IFNA(VLOOKUP(RIGHT(LEFT(A21,4),3),'District LookUp Table'!$A$2:$B$18,2,FALSE), "NOT FOUND"), "")</f>
        <v/>
      </c>
    </row>
    <row r="22" spans="3:3" x14ac:dyDescent="0.2">
      <c r="C22" t="str">
        <f>IF(A22&lt;&gt;"", _xlfn.IFNA(VLOOKUP(RIGHT(LEFT(A22,4),3),'District LookUp Table'!$A$2:$B$18,2,FALSE), "NOT FOUND"), "")</f>
        <v/>
      </c>
    </row>
    <row r="23" spans="3:3" x14ac:dyDescent="0.2">
      <c r="C23" t="str">
        <f>IF(A23&lt;&gt;"", _xlfn.IFNA(VLOOKUP(RIGHT(LEFT(A23,4),3),'District LookUp Table'!$A$2:$B$18,2,FALSE), "NOT FOUND"), "")</f>
        <v/>
      </c>
    </row>
    <row r="24" spans="3:3" x14ac:dyDescent="0.2">
      <c r="C24" t="str">
        <f>IF(A24&lt;&gt;"", _xlfn.IFNA(VLOOKUP(RIGHT(LEFT(A24,4),3),'District LookUp Table'!$A$2:$B$18,2,FALSE), "NOT FOUND"), "")</f>
        <v/>
      </c>
    </row>
    <row r="25" spans="3:3" x14ac:dyDescent="0.2">
      <c r="C25" t="str">
        <f>IF(A25&lt;&gt;"", _xlfn.IFNA(VLOOKUP(RIGHT(LEFT(A25,4),3),'District LookUp Table'!$A$2:$B$18,2,FALSE), "NOT FOUND"), "")</f>
        <v/>
      </c>
    </row>
    <row r="26" spans="3:3" x14ac:dyDescent="0.2">
      <c r="C26" t="str">
        <f>IF(A26&lt;&gt;"", _xlfn.IFNA(VLOOKUP(RIGHT(LEFT(A26,4),3),'District LookUp Table'!$A$2:$B$18,2,FALSE), "NOT FOUND"), "")</f>
        <v/>
      </c>
    </row>
    <row r="27" spans="3:3" x14ac:dyDescent="0.2">
      <c r="C27" t="str">
        <f>IF(A27&lt;&gt;"", _xlfn.IFNA(VLOOKUP(RIGHT(LEFT(A27,4),3),'District LookUp Table'!$A$2:$B$18,2,FALSE), "NOT FOUND"), "")</f>
        <v/>
      </c>
    </row>
    <row r="28" spans="3:3" x14ac:dyDescent="0.2">
      <c r="C28" t="str">
        <f>IF(A28&lt;&gt;"", _xlfn.IFNA(VLOOKUP(RIGHT(LEFT(A28,4),3),'District LookUp Table'!$A$2:$B$18,2,FALSE), "NOT FOUND"), "")</f>
        <v/>
      </c>
    </row>
    <row r="29" spans="3:3" x14ac:dyDescent="0.2">
      <c r="C29" t="str">
        <f>IF(A29&lt;&gt;"", _xlfn.IFNA(VLOOKUP(RIGHT(LEFT(A29,4),3),'District LookUp Table'!$A$2:$B$18,2,FALSE), "NOT FOUND"), "")</f>
        <v/>
      </c>
    </row>
    <row r="30" spans="3:3" x14ac:dyDescent="0.2">
      <c r="C30" t="str">
        <f>IF(A30&lt;&gt;"", _xlfn.IFNA(VLOOKUP(RIGHT(LEFT(A30,4),3),'District LookUp Table'!$A$2:$B$18,2,FALSE), "NOT FOUND"), "")</f>
        <v/>
      </c>
    </row>
    <row r="31" spans="3:3" x14ac:dyDescent="0.2">
      <c r="C31" t="str">
        <f>IF(A31&lt;&gt;"", _xlfn.IFNA(VLOOKUP(RIGHT(LEFT(A31,4),3),'District LookUp Table'!$A$2:$B$18,2,FALSE), "NOT FOUND"), "")</f>
        <v/>
      </c>
    </row>
    <row r="32" spans="3:3" x14ac:dyDescent="0.2">
      <c r="C32" t="str">
        <f>IF(A32&lt;&gt;"", _xlfn.IFNA(VLOOKUP(RIGHT(LEFT(A32,4),3),'District LookUp Table'!$A$2:$B$18,2,FALSE), "NOT FOUND"), "")</f>
        <v/>
      </c>
    </row>
    <row r="33" spans="3:3" x14ac:dyDescent="0.2">
      <c r="C33" t="str">
        <f>IF(A33&lt;&gt;"", _xlfn.IFNA(VLOOKUP(RIGHT(LEFT(A33,4),3),'District LookUp Table'!$A$2:$B$18,2,FALSE), "NOT FOUND"), "")</f>
        <v/>
      </c>
    </row>
    <row r="34" spans="3:3" x14ac:dyDescent="0.2">
      <c r="C34" t="str">
        <f>IF(A34&lt;&gt;"", _xlfn.IFNA(VLOOKUP(RIGHT(LEFT(A34,4),3),'District LookUp Table'!$A$2:$B$18,2,FALSE), "NOT FOUND"), "")</f>
        <v/>
      </c>
    </row>
    <row r="35" spans="3:3" x14ac:dyDescent="0.2">
      <c r="C35" t="str">
        <f>IF(A35&lt;&gt;"", _xlfn.IFNA(VLOOKUP(RIGHT(LEFT(A35,4),3),'District LookUp Table'!$A$2:$B$18,2,FALSE), "NOT FOUND"), "")</f>
        <v/>
      </c>
    </row>
    <row r="36" spans="3:3" x14ac:dyDescent="0.2">
      <c r="C36" t="str">
        <f>IF(A36&lt;&gt;"", _xlfn.IFNA(VLOOKUP(RIGHT(LEFT(A36,4),3),'District LookUp Table'!$A$2:$B$18,2,FALSE), "NOT FOUND"), "")</f>
        <v/>
      </c>
    </row>
    <row r="37" spans="3:3" x14ac:dyDescent="0.2">
      <c r="C37" t="str">
        <f>IF(A37&lt;&gt;"", _xlfn.IFNA(VLOOKUP(RIGHT(LEFT(A37,4),3),'District LookUp Table'!$A$2:$B$18,2,FALSE), "NOT FOUND"), "")</f>
        <v/>
      </c>
    </row>
    <row r="38" spans="3:3" x14ac:dyDescent="0.2">
      <c r="C38" t="str">
        <f>IF(A38&lt;&gt;"", _xlfn.IFNA(VLOOKUP(RIGHT(LEFT(A38,4),3),'District LookUp Table'!$A$2:$B$18,2,FALSE), "NOT FOUND"), "")</f>
        <v/>
      </c>
    </row>
    <row r="39" spans="3:3" x14ac:dyDescent="0.2">
      <c r="C39" t="str">
        <f>IF(A39&lt;&gt;"", _xlfn.IFNA(VLOOKUP(RIGHT(LEFT(A39,4),3),'District LookUp Table'!$A$2:$B$18,2,FALSE), "NOT FOUND"), "")</f>
        <v/>
      </c>
    </row>
    <row r="40" spans="3:3" x14ac:dyDescent="0.2">
      <c r="C40" t="str">
        <f>IF(A40&lt;&gt;"", _xlfn.IFNA(VLOOKUP(RIGHT(LEFT(A40,4),3),'District LookUp Table'!$A$2:$B$18,2,FALSE), "NOT FOUND"), "")</f>
        <v/>
      </c>
    </row>
    <row r="41" spans="3:3" x14ac:dyDescent="0.2">
      <c r="C41" t="str">
        <f>IF(A41&lt;&gt;"", _xlfn.IFNA(VLOOKUP(RIGHT(LEFT(A41,4),3),'District LookUp Table'!$A$2:$B$18,2,FALSE), "NOT FOUND"), "")</f>
        <v/>
      </c>
    </row>
    <row r="42" spans="3:3" x14ac:dyDescent="0.2">
      <c r="C42" t="str">
        <f>IF(A42&lt;&gt;"", _xlfn.IFNA(VLOOKUP(RIGHT(LEFT(A42,4),3),'District LookUp Table'!$A$2:$B$18,2,FALSE), "NOT FOUND"), "")</f>
        <v/>
      </c>
    </row>
    <row r="43" spans="3:3" x14ac:dyDescent="0.2">
      <c r="C43" t="str">
        <f>IF(A43&lt;&gt;"", _xlfn.IFNA(VLOOKUP(RIGHT(LEFT(A43,4),3),'District LookUp Table'!$A$2:$B$18,2,FALSE), "NOT FOUND"), "")</f>
        <v/>
      </c>
    </row>
    <row r="44" spans="3:3" x14ac:dyDescent="0.2">
      <c r="C44" t="str">
        <f>IF(A44&lt;&gt;"", _xlfn.IFNA(VLOOKUP(RIGHT(LEFT(A44,4),3),'District LookUp Table'!$A$2:$B$18,2,FALSE), "NOT FOUND"), "")</f>
        <v/>
      </c>
    </row>
    <row r="45" spans="3:3" x14ac:dyDescent="0.2">
      <c r="C45" t="str">
        <f>IF(A45&lt;&gt;"", _xlfn.IFNA(VLOOKUP(RIGHT(LEFT(A45,4),3),'District LookUp Table'!$A$2:$B$18,2,FALSE), "NOT FOUND"), "")</f>
        <v/>
      </c>
    </row>
    <row r="46" spans="3:3" x14ac:dyDescent="0.2">
      <c r="C46" t="str">
        <f>IF(A46&lt;&gt;"", _xlfn.IFNA(VLOOKUP(RIGHT(LEFT(A46,4),3),'District LookUp Table'!$A$2:$B$18,2,FALSE), "NOT FOUND"), "")</f>
        <v/>
      </c>
    </row>
    <row r="47" spans="3:3" x14ac:dyDescent="0.2">
      <c r="C47" t="str">
        <f>IF(A47&lt;&gt;"", _xlfn.IFNA(VLOOKUP(RIGHT(LEFT(A47,4),3),'District LookUp Table'!$A$2:$B$18,2,FALSE), "NOT FOUND"), "")</f>
        <v/>
      </c>
    </row>
    <row r="48" spans="3:3" x14ac:dyDescent="0.2">
      <c r="C48" t="str">
        <f>IF(A48&lt;&gt;"", _xlfn.IFNA(VLOOKUP(RIGHT(LEFT(A48,4),3),'District LookUp Table'!$A$2:$B$18,2,FALSE), "NOT FOUND"), "")</f>
        <v/>
      </c>
    </row>
    <row r="49" spans="3:3" x14ac:dyDescent="0.2">
      <c r="C49" t="str">
        <f>IF(A49&lt;&gt;"", _xlfn.IFNA(VLOOKUP(RIGHT(LEFT(A49,4),3),'District LookUp Table'!$A$2:$B$18,2,FALSE), "NOT FOUND"), "")</f>
        <v/>
      </c>
    </row>
    <row r="50" spans="3:3" x14ac:dyDescent="0.2">
      <c r="C50" t="str">
        <f>IF(A50&lt;&gt;"", _xlfn.IFNA(VLOOKUP(RIGHT(LEFT(A50,4),3),'District LookUp Table'!$A$2:$B$18,2,FALSE), "NOT FOUND"), "")</f>
        <v/>
      </c>
    </row>
  </sheetData>
  <conditionalFormatting sqref="C2:C1048576">
    <cfRule type="cellIs" dxfId="2" priority="3" operator="equal">
      <formula>"""NOT FOUND"""</formula>
    </cfRule>
  </conditionalFormatting>
  <conditionalFormatting sqref="A1">
    <cfRule type="duplicateValues" dxfId="1" priority="2"/>
  </conditionalFormatting>
  <conditionalFormatting sqref="C1">
    <cfRule type="cellIs" dxfId="0" priority="1" operator="equal">
      <formula>"""NOT FOUND"""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ED754-AC12-BD44-80EC-D17D8DEA7029}">
  <dimension ref="A1:B18"/>
  <sheetViews>
    <sheetView workbookViewId="0">
      <selection activeCell="B2" sqref="B2:B18"/>
    </sheetView>
  </sheetViews>
  <sheetFormatPr baseColWidth="10" defaultRowHeight="16" x14ac:dyDescent="0.2"/>
  <cols>
    <col min="2" max="2" width="22.83203125" bestFit="1" customWidth="1"/>
  </cols>
  <sheetData>
    <row r="1" spans="1:2" x14ac:dyDescent="0.2">
      <c r="A1" t="s">
        <v>0</v>
      </c>
      <c r="B1" t="s">
        <v>1</v>
      </c>
    </row>
    <row r="2" spans="1:2" x14ac:dyDescent="0.2">
      <c r="A2" t="s">
        <v>17</v>
      </c>
      <c r="B2" t="s">
        <v>12</v>
      </c>
    </row>
    <row r="3" spans="1:2" x14ac:dyDescent="0.2">
      <c r="A3" t="s">
        <v>18</v>
      </c>
      <c r="B3" t="s">
        <v>11</v>
      </c>
    </row>
    <row r="4" spans="1:2" x14ac:dyDescent="0.2">
      <c r="A4" t="s">
        <v>19</v>
      </c>
      <c r="B4" t="s">
        <v>13</v>
      </c>
    </row>
    <row r="5" spans="1:2" x14ac:dyDescent="0.2">
      <c r="A5" t="s">
        <v>20</v>
      </c>
      <c r="B5" t="s">
        <v>14</v>
      </c>
    </row>
    <row r="6" spans="1:2" x14ac:dyDescent="0.2">
      <c r="A6" t="s">
        <v>21</v>
      </c>
      <c r="B6" t="s">
        <v>15</v>
      </c>
    </row>
    <row r="7" spans="1:2" x14ac:dyDescent="0.2">
      <c r="A7" t="s">
        <v>24</v>
      </c>
      <c r="B7" t="s">
        <v>16</v>
      </c>
    </row>
    <row r="8" spans="1:2" x14ac:dyDescent="0.2">
      <c r="A8" t="s">
        <v>23</v>
      </c>
      <c r="B8" t="s">
        <v>22</v>
      </c>
    </row>
    <row r="9" spans="1:2" x14ac:dyDescent="0.2">
      <c r="A9" t="s">
        <v>26</v>
      </c>
      <c r="B9" t="s">
        <v>25</v>
      </c>
    </row>
    <row r="10" spans="1:2" x14ac:dyDescent="0.2">
      <c r="A10" t="s">
        <v>28</v>
      </c>
      <c r="B10" t="s">
        <v>27</v>
      </c>
    </row>
    <row r="11" spans="1:2" x14ac:dyDescent="0.2">
      <c r="A11" t="s">
        <v>30</v>
      </c>
      <c r="B11" t="s">
        <v>29</v>
      </c>
    </row>
    <row r="12" spans="1:2" x14ac:dyDescent="0.2">
      <c r="A12" t="s">
        <v>32</v>
      </c>
      <c r="B12" t="s">
        <v>31</v>
      </c>
    </row>
    <row r="13" spans="1:2" x14ac:dyDescent="0.2">
      <c r="A13" t="s">
        <v>34</v>
      </c>
      <c r="B13" t="s">
        <v>33</v>
      </c>
    </row>
    <row r="14" spans="1:2" x14ac:dyDescent="0.2">
      <c r="A14" t="s">
        <v>36</v>
      </c>
      <c r="B14" t="s">
        <v>35</v>
      </c>
    </row>
    <row r="15" spans="1:2" x14ac:dyDescent="0.2">
      <c r="A15" t="s">
        <v>38</v>
      </c>
      <c r="B15" t="s">
        <v>37</v>
      </c>
    </row>
    <row r="16" spans="1:2" x14ac:dyDescent="0.2">
      <c r="A16" t="s">
        <v>40</v>
      </c>
      <c r="B16" t="s">
        <v>39</v>
      </c>
    </row>
    <row r="17" spans="1:2" x14ac:dyDescent="0.2">
      <c r="A17" t="s">
        <v>42</v>
      </c>
      <c r="B17" t="s">
        <v>41</v>
      </c>
    </row>
    <row r="18" spans="1:2" x14ac:dyDescent="0.2">
      <c r="A18" t="s">
        <v>44</v>
      </c>
      <c r="B18" t="s">
        <v>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276EE-1648-024A-B5FF-0F186E065FBF}">
  <dimension ref="A1:C16"/>
  <sheetViews>
    <sheetView workbookViewId="0">
      <selection activeCell="B4" sqref="B4"/>
    </sheetView>
  </sheetViews>
  <sheetFormatPr baseColWidth="10" defaultRowHeight="16" x14ac:dyDescent="0.2"/>
  <cols>
    <col min="1" max="1" width="19.6640625" bestFit="1" customWidth="1"/>
    <col min="2" max="2" width="14" bestFit="1" customWidth="1"/>
  </cols>
  <sheetData>
    <row r="1" spans="1:3" x14ac:dyDescent="0.2">
      <c r="A1" t="s">
        <v>49</v>
      </c>
      <c r="B1" t="s">
        <v>55</v>
      </c>
      <c r="C1" t="s">
        <v>69</v>
      </c>
    </row>
    <row r="2" spans="1:3" x14ac:dyDescent="0.2">
      <c r="A2" t="s">
        <v>50</v>
      </c>
      <c r="B2" t="s">
        <v>56</v>
      </c>
      <c r="C2" t="s">
        <v>70</v>
      </c>
    </row>
    <row r="3" spans="1:3" x14ac:dyDescent="0.2">
      <c r="A3" t="s">
        <v>51</v>
      </c>
      <c r="B3" t="s">
        <v>57</v>
      </c>
      <c r="C3" t="s">
        <v>71</v>
      </c>
    </row>
    <row r="4" spans="1:3" x14ac:dyDescent="0.2">
      <c r="A4" t="s">
        <v>52</v>
      </c>
      <c r="B4" t="s">
        <v>58</v>
      </c>
      <c r="C4" t="s">
        <v>72</v>
      </c>
    </row>
    <row r="5" spans="1:3" x14ac:dyDescent="0.2">
      <c r="A5" t="s">
        <v>53</v>
      </c>
      <c r="B5" t="s">
        <v>59</v>
      </c>
      <c r="C5" t="s">
        <v>73</v>
      </c>
    </row>
    <row r="6" spans="1:3" x14ac:dyDescent="0.2">
      <c r="A6" t="s">
        <v>54</v>
      </c>
      <c r="B6" t="s">
        <v>60</v>
      </c>
    </row>
    <row r="7" spans="1:3" x14ac:dyDescent="0.2">
      <c r="B7" t="s">
        <v>61</v>
      </c>
    </row>
    <row r="8" spans="1:3" x14ac:dyDescent="0.2">
      <c r="B8" t="s">
        <v>62</v>
      </c>
    </row>
    <row r="9" spans="1:3" x14ac:dyDescent="0.2">
      <c r="B9" t="s">
        <v>63</v>
      </c>
    </row>
    <row r="10" spans="1:3" x14ac:dyDescent="0.2">
      <c r="B10" t="s">
        <v>64</v>
      </c>
    </row>
    <row r="11" spans="1:3" x14ac:dyDescent="0.2">
      <c r="B11" t="s">
        <v>65</v>
      </c>
    </row>
    <row r="12" spans="1:3" x14ac:dyDescent="0.2">
      <c r="B12" t="s">
        <v>66</v>
      </c>
    </row>
    <row r="13" spans="1:3" x14ac:dyDescent="0.2">
      <c r="B13" t="s">
        <v>67</v>
      </c>
    </row>
    <row r="14" spans="1:3" x14ac:dyDescent="0.2">
      <c r="B14" t="s">
        <v>68</v>
      </c>
    </row>
    <row r="15" spans="1:3" x14ac:dyDescent="0.2">
      <c r="B15" t="s">
        <v>93</v>
      </c>
    </row>
    <row r="16" spans="1:3" x14ac:dyDescent="0.2">
      <c r="B16" t="s">
        <v>125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Attractions</vt:lpstr>
      <vt:lpstr>Restaurants</vt:lpstr>
      <vt:lpstr>District LookUp Table</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kc072015@connect.hku.hk</dc:creator>
  <cp:lastModifiedBy>kc072015@connect.hku.hk</cp:lastModifiedBy>
  <dcterms:created xsi:type="dcterms:W3CDTF">2025-12-18T09:01:34Z</dcterms:created>
  <dcterms:modified xsi:type="dcterms:W3CDTF">2026-01-15T02:38:10Z</dcterms:modified>
</cp:coreProperties>
</file>